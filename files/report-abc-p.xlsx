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tarlight 2025" sheetId="1" r:id="rId5"/>
  </sheets>
  <definedNames/>
  <calcPr/>
</workbook>
</file>

<file path=xl/sharedStrings.xml><?xml version="1.0" encoding="utf-8"?>
<sst xmlns="http://schemas.openxmlformats.org/spreadsheetml/2006/main" count="615" uniqueCount="144">
  <si>
    <t>No</t>
  </si>
  <si>
    <t>Status</t>
  </si>
  <si>
    <t xml:space="preserve"> Month</t>
  </si>
  <si>
    <t>Client</t>
  </si>
  <si>
    <t>Job Title</t>
  </si>
  <si>
    <t>Sales Amount</t>
  </si>
  <si>
    <t>COGS</t>
  </si>
  <si>
    <t>Operating Profit</t>
  </si>
  <si>
    <t>Operating Profit(%)</t>
  </si>
  <si>
    <t>Agency(Bill to)</t>
  </si>
  <si>
    <t>PIC</t>
  </si>
  <si>
    <t>Job Category</t>
  </si>
  <si>
    <t>Inductry</t>
  </si>
  <si>
    <t>JOB Stage</t>
  </si>
  <si>
    <t>A</t>
  </si>
  <si>
    <t>Danone</t>
  </si>
  <si>
    <t xml:space="preserve">Isi Piringku </t>
  </si>
  <si>
    <t>Direct</t>
  </si>
  <si>
    <t>Operational &amp; Production</t>
  </si>
  <si>
    <t>FMCG</t>
  </si>
  <si>
    <t>Add Cost Isi Piringku</t>
  </si>
  <si>
    <t>QSM + Add Cost</t>
  </si>
  <si>
    <t>Bebelac Tummyversity 7 spot</t>
  </si>
  <si>
    <t>Operational</t>
  </si>
  <si>
    <t>Bebelac Tummyversity 2 spot</t>
  </si>
  <si>
    <t>Touch up Booth Bebelac Tummyversity</t>
  </si>
  <si>
    <t>Production</t>
  </si>
  <si>
    <t>Fonterra</t>
  </si>
  <si>
    <t>Boneeto Fun Run Jakarta</t>
  </si>
  <si>
    <t>Anmum Fun Run Jakarta</t>
  </si>
  <si>
    <t>Anchor Butter Fun Run Jakarta</t>
  </si>
  <si>
    <t>Boneeto Fun Run Surabaya</t>
  </si>
  <si>
    <t>Cost Gabungan Fun Run Surabaya</t>
  </si>
  <si>
    <t>Anmum Fun Run Surabaya</t>
  </si>
  <si>
    <t>Anchor Butter Fun Run Surabaya</t>
  </si>
  <si>
    <t>Production Video Sustainability</t>
  </si>
  <si>
    <t>Video Production</t>
  </si>
  <si>
    <t>Mayora</t>
  </si>
  <si>
    <t>Le Mineral Gala Premiere Short Movie</t>
  </si>
  <si>
    <t>JAN</t>
  </si>
  <si>
    <t>B</t>
  </si>
  <si>
    <t>Total</t>
  </si>
  <si>
    <t>A+B</t>
  </si>
  <si>
    <t>C</t>
  </si>
  <si>
    <t>Different (A+B /Target)</t>
  </si>
  <si>
    <t>P</t>
  </si>
  <si>
    <t>Danone JBP</t>
  </si>
  <si>
    <t>Sampling &amp; Presscon Bebelac Jumbo</t>
  </si>
  <si>
    <t>Bebelac Raja Susu RJS</t>
  </si>
  <si>
    <t>Fee Pembicara Bebejourney RJS</t>
  </si>
  <si>
    <t>LJ Hooker</t>
  </si>
  <si>
    <t>LJ Hooker Awarading</t>
  </si>
  <si>
    <t>Property</t>
  </si>
  <si>
    <t>FEB</t>
  </si>
  <si>
    <t>Production Photo Booth Bebelac x Jumbo</t>
  </si>
  <si>
    <t>Packing &amp; Delivery IED Hampers Fonterra</t>
  </si>
  <si>
    <t>MAR</t>
  </si>
  <si>
    <t>1Q</t>
  </si>
  <si>
    <t xml:space="preserve">Private Screening &amp; Production Flag Chain Bebelac </t>
  </si>
  <si>
    <t>Bebelac Medium Jumbo, Expedisi, Production &amp; Photo Print</t>
  </si>
  <si>
    <t>Production Lanyard, Note Book Bebelac Jumbo</t>
  </si>
  <si>
    <t>APR</t>
  </si>
  <si>
    <t>Kalbe</t>
  </si>
  <si>
    <t>Entrasol Games Run Bandung</t>
  </si>
  <si>
    <t>MAY</t>
  </si>
  <si>
    <t>Sugizindo gathering</t>
  </si>
  <si>
    <t>Ciracas family gathering</t>
  </si>
  <si>
    <t xml:space="preserve">Sampling Bebelac RTD Hari Susu Nasional CFD 15 Juni </t>
  </si>
  <si>
    <t>Press Launching Bebelac RTD 19 Juni</t>
  </si>
  <si>
    <t>Bebejourney Activation IFFO</t>
  </si>
  <si>
    <t>SAMPLING BEBELAC RTD  at BUMI URBAN FOREST &amp; CFD</t>
  </si>
  <si>
    <t>Bebelac RTD S2S 10 titik</t>
  </si>
  <si>
    <t>Instore &amp; Game Development Morinaga Soyalympic</t>
  </si>
  <si>
    <t>Production Booth Prenagen Mom n Me &amp; Imbex</t>
  </si>
  <si>
    <t>Entrasol Nobar Jurrasic World</t>
  </si>
  <si>
    <t>Addcost Entrasol Nobar Jurassic World</t>
  </si>
  <si>
    <t>CP Petindo</t>
  </si>
  <si>
    <t>Operational NUSATIC</t>
  </si>
  <si>
    <t>Pet Food</t>
  </si>
  <si>
    <t>JUN</t>
  </si>
  <si>
    <t>2Q</t>
  </si>
  <si>
    <t>1H</t>
  </si>
  <si>
    <t>Bebelac RTD TMII</t>
  </si>
  <si>
    <t>Aurora Internal Activation</t>
  </si>
  <si>
    <t>Bebelac RTD Citilink</t>
  </si>
  <si>
    <t>Sampling RTD - Danone Day</t>
  </si>
  <si>
    <t>Parent Talk RTD</t>
  </si>
  <si>
    <t>Bebelac Tummyversity Alfamart Expo</t>
  </si>
  <si>
    <t>Prenagen Mom Soc RS Mandaya 6 July</t>
  </si>
  <si>
    <t>Prenagen Mom Soc RS Bunda Menteng 13 July</t>
  </si>
  <si>
    <t>Morinaga Soyalympic Final Game</t>
  </si>
  <si>
    <t>DSN Booth ( Production Trolley )</t>
  </si>
  <si>
    <t>JUL</t>
  </si>
  <si>
    <t xml:space="preserve"> </t>
  </si>
  <si>
    <t>Internal Activation RTD 3 kota</t>
  </si>
  <si>
    <t>Activation Sampling Bebelac RTD Hari Anak at BUUMI</t>
  </si>
  <si>
    <t>Dokumentasi Internal Activation Bebelac</t>
  </si>
  <si>
    <t xml:space="preserve">Prenagen Mom Soc Pakuwon JOG 3 Agustus </t>
  </si>
  <si>
    <t>Prenagen Mom Soc RS JIH 10 Agustus</t>
  </si>
  <si>
    <t>Prenagen Mom Soc RS National Hospital Surabaya</t>
  </si>
  <si>
    <t>Prenagen Mom Soc TP 6 Surabaya</t>
  </si>
  <si>
    <t>Entrasol UBM</t>
  </si>
  <si>
    <t>Morinaga Soya KN Fair Jogya</t>
  </si>
  <si>
    <t>Morinaga Soya KN Fair Surabaya</t>
  </si>
  <si>
    <t>ICP</t>
  </si>
  <si>
    <t>Thailand Week</t>
  </si>
  <si>
    <t>Agency</t>
  </si>
  <si>
    <t>Goverment</t>
  </si>
  <si>
    <t>Provaliant</t>
  </si>
  <si>
    <t>Live Stream Film Nobody 2</t>
  </si>
  <si>
    <t>Movie</t>
  </si>
  <si>
    <t>AUG</t>
  </si>
  <si>
    <t>Addcost Prenagen Mom Soc</t>
  </si>
  <si>
    <t>Prenagen Hai Bunda</t>
  </si>
  <si>
    <t>SEP</t>
  </si>
  <si>
    <t>3Q</t>
  </si>
  <si>
    <t>Bebelac RTD TikTok Fest</t>
  </si>
  <si>
    <t>Bebelac Table Top Pegasus</t>
  </si>
  <si>
    <t>Sales Activation Bebelac RTD</t>
  </si>
  <si>
    <t>T-Banner GWC</t>
  </si>
  <si>
    <t>Sport</t>
  </si>
  <si>
    <t>Booth Merchandise GWC</t>
  </si>
  <si>
    <t>Booth Ozone GWC</t>
  </si>
  <si>
    <t>OCT</t>
  </si>
  <si>
    <t>Morinaga Soya Pengundian</t>
  </si>
  <si>
    <t>Activation Bejo Jabodetabek &amp; Kalimanatan Cycle 1</t>
  </si>
  <si>
    <t>Booth Entrasol UBM Plaza Utara</t>
  </si>
  <si>
    <t>Booth Entrasol UBM CFD</t>
  </si>
  <si>
    <t>Activation Bejo Jawa Cycle 1</t>
  </si>
  <si>
    <t>Activation Bejo Jawa Cycle 2</t>
  </si>
  <si>
    <t>Activation Bejo Jabodetabek &amp; Kalimanatan Cycle 2</t>
  </si>
  <si>
    <t>Bebelac Tummyversity 17 spot 2025</t>
  </si>
  <si>
    <t>Miranda</t>
  </si>
  <si>
    <t>Venue Taman Literasi Blom M</t>
  </si>
  <si>
    <t>NOV</t>
  </si>
  <si>
    <t>DEC</t>
  </si>
  <si>
    <t>4Q</t>
  </si>
  <si>
    <t>2H</t>
  </si>
  <si>
    <t>FY</t>
  </si>
  <si>
    <t>*Only A+B</t>
  </si>
  <si>
    <t>Sales</t>
  </si>
  <si>
    <t>Gross Profit</t>
  </si>
  <si>
    <t>P/S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</si>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</sst>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_);_(@_)"/>
    <numFmt numFmtId="165" formatCode="_(* #,##0_);_(* \(#,##0\);_(* &quot;-&quot;??_);_(@_)"/>
    <numFmt numFmtId="166" formatCode="_(* #,##0.00_);_(* \(#,##0.00\);_(* &quot;-&quot;??_);_(@_)"/>
    <numFmt numFmtId="167" formatCode="[$-409]mmm/yy"/>
  </numFmts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757070"/>
      <name val="Calibri"/>
    </font>
    <font>
      <sz val="11.0"/>
      <color rgb="FFD8D8D8"/>
      <name val="Calibri"/>
    </font>
    <font>
      <b/>
      <sz val="11.0"/>
      <color rgb="FFFF0000"/>
      <name val="Calibri"/>
    </font>
    <font>
      <sz val="12.0"/>
      <color rgb="FFFF0000"/>
      <name val="Calibri"/>
    </font>
    <font>
      <sz val="11.0"/>
      <color rgb="FFA5A5A5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sz val="8.0"/>
      <color rgb="FFFF0000"/>
      <name val="Meiryo"/>
    </font>
    <font>
      <b/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D9EAD3"/>
        <bgColor rgb="FFD9EAD3"/>
      </patternFill>
    </fill>
  </fills>
  <borders count="26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38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38" xfId="0" applyAlignment="1" applyBorder="1" applyFont="1" applyNumberFormat="1">
      <alignment horizontal="center" vertical="center"/>
    </xf>
    <xf borderId="1" fillId="2" fontId="2" numFmtId="10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readingOrder="0" vertical="center"/>
    </xf>
    <xf borderId="2" fillId="3" fontId="1" numFmtId="0" xfId="0" applyAlignment="1" applyBorder="1" applyFill="1" applyFont="1">
      <alignment vertical="bottom"/>
    </xf>
    <xf borderId="2" fillId="3" fontId="1" numFmtId="3" xfId="0" applyAlignment="1" applyBorder="1" applyFont="1" applyNumberFormat="1">
      <alignment horizontal="right" vertical="bottom"/>
    </xf>
    <xf borderId="2" fillId="0" fontId="1" numFmtId="3" xfId="0" applyAlignment="1" applyBorder="1" applyFont="1" applyNumberFormat="1">
      <alignment horizontal="right" vertical="bottom"/>
    </xf>
    <xf borderId="2" fillId="0" fontId="1" numFmtId="38" xfId="0" applyAlignment="1" applyBorder="1" applyFont="1" applyNumberFormat="1">
      <alignment horizontal="right" vertical="center"/>
    </xf>
    <xf borderId="2" fillId="0" fontId="1" numFmtId="10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0" fillId="0" fontId="1" numFmtId="38" xfId="0" applyAlignment="1" applyFont="1" applyNumberFormat="1">
      <alignment horizontal="right" vertical="center"/>
    </xf>
    <xf borderId="0" fillId="0" fontId="1" numFmtId="10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horizontal="right" vertical="center"/>
    </xf>
    <xf borderId="2" fillId="4" fontId="1" numFmtId="0" xfId="0" applyAlignment="1" applyBorder="1" applyFill="1" applyFont="1">
      <alignment horizontal="right" vertical="center"/>
    </xf>
    <xf borderId="3" fillId="4" fontId="1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2" fillId="4" fontId="2" numFmtId="0" xfId="0" applyAlignment="1" applyBorder="1" applyFont="1">
      <alignment horizontal="right" vertical="center"/>
    </xf>
    <xf borderId="2" fillId="0" fontId="2" numFmtId="38" xfId="0" applyAlignment="1" applyBorder="1" applyFont="1" applyNumberFormat="1">
      <alignment horizontal="right" vertical="center"/>
    </xf>
    <xf borderId="2" fillId="0" fontId="2" numFmtId="38" xfId="0" applyAlignment="1" applyBorder="1" applyFont="1" applyNumberFormat="1">
      <alignment vertical="center"/>
    </xf>
    <xf borderId="2" fillId="0" fontId="2" numFmtId="10" xfId="0" applyAlignment="1" applyBorder="1" applyFont="1" applyNumberFormat="1">
      <alignment horizontal="right" vertical="center"/>
    </xf>
    <xf borderId="3" fillId="0" fontId="2" numFmtId="3" xfId="0" applyAlignment="1" applyBorder="1" applyFont="1" applyNumberFormat="1">
      <alignment horizontal="right" vertical="center"/>
    </xf>
    <xf borderId="2" fillId="0" fontId="2" numFmtId="3" xfId="0" applyAlignment="1" applyBorder="1" applyFont="1" applyNumberFormat="1">
      <alignment horizontal="right" vertical="center"/>
    </xf>
    <xf borderId="3" fillId="4" fontId="1" numFmtId="0" xfId="0" applyAlignment="1" applyBorder="1" applyFont="1">
      <alignment horizontal="center" vertical="center"/>
    </xf>
    <xf borderId="3" fillId="0" fontId="2" numFmtId="38" xfId="0" applyAlignment="1" applyBorder="1" applyFont="1" applyNumberFormat="1">
      <alignment horizontal="right" vertical="center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38" xfId="0" applyAlignment="1" applyBorder="1" applyFont="1" applyNumberFormat="1">
      <alignment horizontal="right"/>
    </xf>
    <xf borderId="2" fillId="0" fontId="1" numFmtId="0" xfId="0" applyBorder="1" applyFont="1"/>
    <xf borderId="2" fillId="0" fontId="1" numFmtId="3" xfId="0" applyAlignment="1" applyBorder="1" applyFont="1" applyNumberFormat="1">
      <alignment horizontal="right"/>
    </xf>
    <xf borderId="0" fillId="3" fontId="1" numFmtId="0" xfId="0" applyAlignment="1" applyFont="1">
      <alignment vertical="bottom"/>
    </xf>
    <xf borderId="0" fillId="3" fontId="1" numFmtId="3" xfId="0" applyAlignment="1" applyFont="1" applyNumberFormat="1">
      <alignment horizontal="right" vertical="bottom"/>
    </xf>
    <xf borderId="0" fillId="0" fontId="1" numFmtId="38" xfId="0" applyAlignment="1" applyFont="1" applyNumberFormat="1">
      <alignment horizontal="right"/>
    </xf>
    <xf borderId="0" fillId="0" fontId="1" numFmtId="165" xfId="0" applyAlignment="1" applyFont="1" applyNumberFormat="1">
      <alignment vertical="bottom"/>
    </xf>
    <xf borderId="6" fillId="0" fontId="1" numFmtId="0" xfId="0" applyAlignment="1" applyBorder="1" applyFont="1">
      <alignment vertical="bottom"/>
    </xf>
    <xf borderId="6" fillId="0" fontId="3" numFmtId="0" xfId="0" applyBorder="1" applyFont="1"/>
    <xf borderId="0" fillId="0" fontId="4" numFmtId="38" xfId="0" applyAlignment="1" applyFont="1" applyNumberFormat="1">
      <alignment horizontal="right" vertical="center"/>
    </xf>
    <xf borderId="0" fillId="0" fontId="4" numFmtId="10" xfId="0" applyAlignment="1" applyFont="1" applyNumberFormat="1">
      <alignment horizontal="right" vertical="center"/>
    </xf>
    <xf borderId="2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38" xfId="0" applyAlignment="1" applyFont="1" applyNumberFormat="1">
      <alignment readingOrder="0" vertical="center"/>
    </xf>
    <xf borderId="6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bottom"/>
    </xf>
    <xf borderId="0" fillId="0" fontId="1" numFmtId="3" xfId="0" applyAlignment="1" applyFont="1" applyNumberFormat="1">
      <alignment horizontal="right" vertical="center"/>
    </xf>
    <xf borderId="0" fillId="0" fontId="1" numFmtId="3" xfId="0" applyAlignment="1" applyFont="1" applyNumberFormat="1">
      <alignment vertical="bottom"/>
    </xf>
    <xf borderId="2" fillId="0" fontId="1" numFmtId="3" xfId="0" applyAlignment="1" applyBorder="1" applyFont="1" applyNumberFormat="1">
      <alignment horizontal="right" vertical="center"/>
    </xf>
    <xf borderId="7" fillId="0" fontId="1" numFmtId="0" xfId="0" applyAlignment="1" applyBorder="1" applyFont="1">
      <alignment vertical="center"/>
    </xf>
    <xf borderId="7" fillId="0" fontId="3" numFmtId="0" xfId="0" applyBorder="1" applyFont="1"/>
    <xf borderId="0" fillId="0" fontId="1" numFmtId="38" xfId="0" applyAlignment="1" applyFont="1" applyNumberFormat="1">
      <alignment vertical="bottom"/>
    </xf>
    <xf borderId="2" fillId="0" fontId="1" numFmtId="38" xfId="0" applyAlignment="1" applyBorder="1" applyFont="1" applyNumberFormat="1">
      <alignment vertical="bottom"/>
    </xf>
    <xf borderId="2" fillId="3" fontId="1" numFmtId="38" xfId="0" applyAlignment="1" applyBorder="1" applyFont="1" applyNumberFormat="1">
      <alignment vertical="bottom"/>
    </xf>
    <xf borderId="2" fillId="0" fontId="1" numFmtId="38" xfId="0" applyBorder="1" applyFont="1" applyNumberFormat="1"/>
    <xf borderId="0" fillId="0" fontId="5" numFmtId="38" xfId="0" applyAlignment="1" applyFont="1" applyNumberFormat="1">
      <alignment horizontal="right" vertical="center"/>
    </xf>
    <xf borderId="0" fillId="0" fontId="5" numFmtId="10" xfId="0" applyAlignment="1" applyFont="1" applyNumberFormat="1">
      <alignment horizontal="right" vertical="center"/>
    </xf>
    <xf borderId="8" fillId="0" fontId="1" numFmtId="0" xfId="0" applyAlignment="1" applyBorder="1" applyFont="1">
      <alignment vertical="center"/>
    </xf>
    <xf borderId="8" fillId="0" fontId="3" numFmtId="0" xfId="0" applyBorder="1" applyFont="1"/>
    <xf borderId="3" fillId="0" fontId="6" numFmtId="38" xfId="0" applyAlignment="1" applyBorder="1" applyFont="1" applyNumberFormat="1">
      <alignment horizontal="right" vertical="center"/>
    </xf>
    <xf borderId="2" fillId="0" fontId="6" numFmtId="38" xfId="0" applyAlignment="1" applyBorder="1" applyFont="1" applyNumberFormat="1">
      <alignment horizontal="right" vertical="center"/>
    </xf>
    <xf borderId="2" fillId="4" fontId="1" numFmtId="0" xfId="0" applyAlignment="1" applyBorder="1" applyFont="1">
      <alignment horizontal="right" readingOrder="0" vertical="center"/>
    </xf>
    <xf borderId="7" fillId="0" fontId="7" numFmtId="0" xfId="0" applyAlignment="1" applyBorder="1" applyFont="1">
      <alignment horizontal="center" shrinkToFit="0" vertical="center" wrapText="1"/>
    </xf>
    <xf borderId="0" fillId="0" fontId="8" numFmtId="38" xfId="0" applyAlignment="1" applyFont="1" applyNumberFormat="1">
      <alignment horizontal="right" vertical="center"/>
    </xf>
    <xf borderId="0" fillId="0" fontId="8" numFmtId="10" xfId="0" applyAlignment="1" applyFont="1" applyNumberFormat="1">
      <alignment horizontal="right" vertical="center"/>
    </xf>
    <xf borderId="0" fillId="0" fontId="1" numFmtId="3" xfId="0" applyAlignment="1" applyFont="1" applyNumberFormat="1">
      <alignment vertical="center"/>
    </xf>
    <xf borderId="0" fillId="0" fontId="1" numFmtId="166" xfId="0" applyAlignment="1" applyFont="1" applyNumberFormat="1">
      <alignment vertical="bottom"/>
    </xf>
    <xf borderId="0" fillId="0" fontId="9" numFmtId="38" xfId="0" applyAlignment="1" applyFont="1" applyNumberFormat="1">
      <alignment horizontal="right" vertical="center"/>
    </xf>
    <xf borderId="0" fillId="0" fontId="9" numFmtId="10" xfId="0" applyAlignment="1" applyFont="1" applyNumberFormat="1">
      <alignment horizontal="right" vertical="center"/>
    </xf>
    <xf borderId="2" fillId="5" fontId="1" numFmtId="0" xfId="0" applyAlignment="1" applyBorder="1" applyFill="1" applyFont="1">
      <alignment horizontal="right" vertical="center"/>
    </xf>
    <xf borderId="2" fillId="5" fontId="2" numFmtId="0" xfId="0" applyAlignment="1" applyBorder="1" applyFont="1">
      <alignment horizontal="right" vertical="center"/>
    </xf>
    <xf borderId="0" fillId="0" fontId="1" numFmtId="164" xfId="0" applyAlignment="1" applyFont="1" applyNumberFormat="1">
      <alignment vertical="center"/>
    </xf>
    <xf borderId="2" fillId="0" fontId="1" numFmtId="0" xfId="0" applyAlignment="1" applyBorder="1" applyFont="1">
      <alignment readingOrder="0" vertical="bottom"/>
    </xf>
    <xf borderId="2" fillId="0" fontId="1" numFmtId="38" xfId="0" applyAlignment="1" applyBorder="1" applyFont="1" applyNumberFormat="1">
      <alignment horizontal="right" readingOrder="0" vertical="center"/>
    </xf>
    <xf borderId="2" fillId="0" fontId="1" numFmtId="38" xfId="0" applyAlignment="1" applyBorder="1" applyFont="1" applyNumberFormat="1">
      <alignment readingOrder="0" vertical="center"/>
    </xf>
    <xf borderId="2" fillId="0" fontId="1" numFmtId="38" xfId="0" applyAlignment="1" applyBorder="1" applyFont="1" applyNumberFormat="1">
      <alignment vertical="center"/>
    </xf>
    <xf borderId="2" fillId="0" fontId="1" numFmtId="10" xfId="0" applyAlignment="1" applyBorder="1" applyFont="1" applyNumberFormat="1">
      <alignment vertical="center"/>
    </xf>
    <xf borderId="2" fillId="0" fontId="1" numFmtId="0" xfId="0" applyAlignment="1" applyBorder="1" applyFont="1">
      <alignment horizontal="center" vertical="bottom"/>
    </xf>
    <xf borderId="0" fillId="0" fontId="10" numFmtId="38" xfId="0" applyAlignment="1" applyFont="1" applyNumberFormat="1">
      <alignment horizontal="right" vertical="center"/>
    </xf>
    <xf borderId="0" fillId="0" fontId="10" numFmtId="38" xfId="0" applyAlignment="1" applyFont="1" applyNumberFormat="1">
      <alignment vertical="center"/>
    </xf>
    <xf borderId="2" fillId="4" fontId="2" numFmtId="38" xfId="0" applyAlignment="1" applyBorder="1" applyFont="1" applyNumberFormat="1">
      <alignment horizontal="center" vertical="center"/>
    </xf>
    <xf borderId="2" fillId="6" fontId="2" numFmtId="38" xfId="0" applyAlignment="1" applyBorder="1" applyFill="1" applyFont="1" applyNumberFormat="1">
      <alignment horizontal="center" vertical="center"/>
    </xf>
    <xf borderId="2" fillId="4" fontId="2" numFmtId="10" xfId="0" applyAlignment="1" applyBorder="1" applyFont="1" applyNumberFormat="1">
      <alignment horizontal="center" vertical="center"/>
    </xf>
    <xf borderId="3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3" fillId="0" fontId="1" numFmtId="3" xfId="0" applyAlignment="1" applyBorder="1" applyFont="1" applyNumberFormat="1">
      <alignment horizontal="right" vertical="center"/>
    </xf>
    <xf borderId="2" fillId="0" fontId="9" numFmtId="38" xfId="0" applyAlignment="1" applyBorder="1" applyFont="1" applyNumberFormat="1">
      <alignment horizontal="right" vertical="center"/>
    </xf>
    <xf borderId="9" fillId="4" fontId="1" numFmtId="0" xfId="0" applyAlignment="1" applyBorder="1" applyFont="1">
      <alignment horizontal="right" vertical="center"/>
    </xf>
    <xf borderId="10" fillId="0" fontId="1" numFmtId="38" xfId="0" applyAlignment="1" applyBorder="1" applyFont="1" applyNumberFormat="1">
      <alignment horizontal="right" vertical="center"/>
    </xf>
    <xf borderId="10" fillId="0" fontId="1" numFmtId="10" xfId="0" applyAlignment="1" applyBorder="1" applyFont="1" applyNumberFormat="1">
      <alignment horizontal="right" vertical="center"/>
    </xf>
    <xf borderId="11" fillId="0" fontId="1" numFmtId="3" xfId="0" applyAlignment="1" applyBorder="1" applyFont="1" applyNumberFormat="1">
      <alignment horizontal="right" vertical="center"/>
    </xf>
    <xf borderId="12" fillId="0" fontId="3" numFmtId="0" xfId="0" applyBorder="1" applyFont="1"/>
    <xf borderId="10" fillId="0" fontId="9" numFmtId="38" xfId="0" applyAlignment="1" applyBorder="1" applyFont="1" applyNumberFormat="1">
      <alignment horizontal="right" vertical="center"/>
    </xf>
    <xf borderId="13" fillId="4" fontId="2" numFmtId="0" xfId="0" applyAlignment="1" applyBorder="1" applyFont="1">
      <alignment horizontal="right" vertical="center"/>
    </xf>
    <xf borderId="14" fillId="4" fontId="2" numFmtId="38" xfId="0" applyAlignment="1" applyBorder="1" applyFont="1" applyNumberFormat="1">
      <alignment horizontal="right" vertical="center"/>
    </xf>
    <xf borderId="14" fillId="4" fontId="2" numFmtId="10" xfId="0" applyAlignment="1" applyBorder="1" applyFont="1" applyNumberFormat="1">
      <alignment horizontal="right" vertical="center"/>
    </xf>
    <xf borderId="15" fillId="4" fontId="2" numFmtId="3" xfId="0" applyAlignment="1" applyBorder="1" applyFont="1" applyNumberFormat="1">
      <alignment horizontal="right" vertical="center"/>
    </xf>
    <xf borderId="16" fillId="0" fontId="3" numFmtId="0" xfId="0" applyBorder="1" applyFont="1"/>
    <xf borderId="17" fillId="0" fontId="3" numFmtId="0" xfId="0" applyBorder="1" applyFont="1"/>
    <xf borderId="14" fillId="4" fontId="2" numFmtId="3" xfId="0" applyAlignment="1" applyBorder="1" applyFont="1" applyNumberFormat="1">
      <alignment horizontal="right" vertical="center"/>
    </xf>
    <xf borderId="18" fillId="4" fontId="6" numFmtId="38" xfId="0" applyAlignment="1" applyBorder="1" applyFont="1" applyNumberFormat="1">
      <alignment horizontal="right" vertical="center"/>
    </xf>
    <xf borderId="0" fillId="0" fontId="2" numFmtId="3" xfId="0" applyAlignment="1" applyFont="1" applyNumberFormat="1">
      <alignment horizontal="right" vertical="center"/>
    </xf>
    <xf borderId="19" fillId="4" fontId="1" numFmtId="0" xfId="0" applyAlignment="1" applyBorder="1" applyFont="1">
      <alignment horizontal="right" vertical="center"/>
    </xf>
    <xf borderId="20" fillId="0" fontId="1" numFmtId="38" xfId="0" applyAlignment="1" applyBorder="1" applyFont="1" applyNumberFormat="1">
      <alignment horizontal="right" vertical="center"/>
    </xf>
    <xf borderId="20" fillId="0" fontId="1" numFmtId="10" xfId="0" applyAlignment="1" applyBorder="1" applyFont="1" applyNumberFormat="1">
      <alignment horizontal="right" vertical="center"/>
    </xf>
    <xf borderId="21" fillId="0" fontId="1" numFmtId="3" xfId="0" applyAlignment="1" applyBorder="1" applyFont="1" applyNumberFormat="1">
      <alignment horizontal="right" vertical="center"/>
    </xf>
    <xf borderId="22" fillId="0" fontId="3" numFmtId="0" xfId="0" applyBorder="1" applyFont="1"/>
    <xf borderId="23" fillId="0" fontId="3" numFmtId="0" xfId="0" applyBorder="1" applyFont="1"/>
    <xf borderId="20" fillId="0" fontId="1" numFmtId="3" xfId="0" applyAlignment="1" applyBorder="1" applyFont="1" applyNumberFormat="1">
      <alignment horizontal="right" vertical="center"/>
    </xf>
    <xf borderId="20" fillId="0" fontId="9" numFmtId="38" xfId="0" applyAlignment="1" applyBorder="1" applyFont="1" applyNumberFormat="1">
      <alignment horizontal="right" vertical="center"/>
    </xf>
    <xf borderId="10" fillId="0" fontId="1" numFmtId="3" xfId="0" applyAlignment="1" applyBorder="1" applyFont="1" applyNumberFormat="1">
      <alignment horizontal="right" vertical="center"/>
    </xf>
    <xf borderId="13" fillId="4" fontId="2" numFmtId="0" xfId="0" applyAlignment="1" applyBorder="1" applyFont="1">
      <alignment horizontal="right" readingOrder="0" vertical="center"/>
    </xf>
    <xf borderId="18" fillId="4" fontId="2" numFmtId="38" xfId="0" applyAlignment="1" applyBorder="1" applyFont="1" applyNumberFormat="1">
      <alignment horizontal="right" vertical="center"/>
    </xf>
    <xf borderId="24" fillId="0" fontId="11" numFmtId="167" xfId="0" applyAlignment="1" applyBorder="1" applyFont="1" applyNumberFormat="1">
      <alignment horizontal="center" vertical="center"/>
    </xf>
    <xf borderId="0" fillId="0" fontId="11" numFmtId="0" xfId="0" applyAlignment="1" applyFont="1">
      <alignment vertical="bottom"/>
    </xf>
    <xf borderId="0" fillId="0" fontId="11" numFmtId="165" xfId="0" applyAlignment="1" applyFont="1" applyNumberFormat="1">
      <alignment horizontal="right" vertical="bottom"/>
    </xf>
    <xf borderId="0" fillId="0" fontId="11" numFmtId="0" xfId="0" applyAlignment="1" applyFont="1">
      <alignment horizontal="right" vertical="bottom"/>
    </xf>
    <xf borderId="0" fillId="0" fontId="12" numFmtId="0" xfId="0" applyAlignment="1" applyFont="1">
      <alignment horizontal="center" vertical="center"/>
    </xf>
    <xf borderId="25" fillId="5" fontId="1" numFmtId="0" xfId="0" applyAlignment="1" applyBorder="1" applyFont="1">
      <alignment horizontal="center" vertical="center"/>
    </xf>
    <xf borderId="25" fillId="5" fontId="1" numFmtId="0" xfId="0" applyAlignment="1" applyBorder="1" applyFont="1">
      <alignment vertical="center"/>
    </xf>
    <xf borderId="25" fillId="5" fontId="1" numFmtId="165" xfId="0" applyAlignment="1" applyBorder="1" applyFont="1" applyNumberFormat="1">
      <alignment horizontal="right" vertical="bottom"/>
    </xf>
    <xf borderId="25" fillId="5" fontId="1" numFmtId="165" xfId="0" applyAlignment="1" applyBorder="1" applyFont="1" applyNumberFormat="1">
      <alignment vertical="bottom"/>
    </xf>
    <xf borderId="25" fillId="5" fontId="1" numFmtId="10" xfId="0" applyAlignment="1" applyBorder="1" applyFont="1" applyNumberFormat="1">
      <alignment horizontal="right" vertical="center"/>
    </xf>
    <xf borderId="25" fillId="5" fontId="1" numFmtId="38" xfId="0" applyAlignment="1" applyBorder="1" applyFont="1" applyNumberFormat="1">
      <alignment vertical="center"/>
    </xf>
    <xf borderId="25" fillId="5" fontId="1" numFmtId="166" xfId="0" applyAlignment="1" applyBorder="1" applyFont="1" applyNumberFormat="1">
      <alignment vertical="center"/>
    </xf>
    <xf borderId="25" fillId="5" fontId="1" numFmtId="0" xfId="0" applyAlignment="1" applyBorder="1" applyFont="1">
      <alignment vertical="bottom"/>
    </xf>
    <xf borderId="25" fillId="5" fontId="1" numFmtId="164" xfId="0" applyAlignment="1" applyBorder="1" applyFont="1" applyNumberFormat="1">
      <alignment horizontal="right" vertical="bottom"/>
    </xf>
    <xf borderId="25" fillId="5" fontId="1" numFmtId="164" xfId="0" applyAlignment="1" applyBorder="1" applyFont="1" applyNumberFormat="1">
      <alignment vertical="bottom"/>
    </xf>
    <xf borderId="25" fillId="5" fontId="1" numFmtId="10" xfId="0" applyAlignment="1" applyBorder="1" applyFont="1" applyNumberFormat="1">
      <alignment vertical="center"/>
    </xf>
    <xf borderId="25" fillId="5" fontId="2" numFmtId="38" xfId="0" applyAlignment="1" applyBorder="1" applyFont="1" applyNumberFormat="1">
      <alignment horizontal="right" vertical="center"/>
    </xf>
    <xf borderId="25" fillId="5" fontId="2" numFmtId="10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8.13"/>
    <col customWidth="1" min="3" max="3" width="7.0"/>
    <col customWidth="1" min="4" max="4" width="11.75"/>
    <col customWidth="1" min="5" max="5" width="35.5"/>
    <col customWidth="1" min="11" max="11" width="16.13"/>
    <col customWidth="1" min="12" max="12" width="4.88"/>
    <col customWidth="1" min="13" max="13" width="20.0"/>
  </cols>
  <sheetData>
    <row r="1">
      <c r="A1" s="1"/>
      <c r="B1" s="1"/>
      <c r="C1" s="1"/>
      <c r="D1" s="1"/>
      <c r="E1" s="1"/>
      <c r="F1" s="2"/>
      <c r="G1" s="2"/>
      <c r="H1" s="2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4" t="s">
        <v>9</v>
      </c>
      <c r="K2" s="4" t="s">
        <v>10</v>
      </c>
      <c r="L2" s="7"/>
      <c r="M2" s="4" t="s">
        <v>11</v>
      </c>
      <c r="N2" s="4" t="s">
        <v>12</v>
      </c>
      <c r="O2" s="4" t="s">
        <v>13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8">
        <v>1.0</v>
      </c>
      <c r="B3" s="8" t="s">
        <v>14</v>
      </c>
      <c r="C3" s="8">
        <v>1.0</v>
      </c>
      <c r="D3" s="9" t="s">
        <v>15</v>
      </c>
      <c r="E3" s="10" t="s">
        <v>16</v>
      </c>
      <c r="F3" s="11">
        <v>9.79767449E8</v>
      </c>
      <c r="G3" s="12">
        <v>7.25E8</v>
      </c>
      <c r="H3" s="13">
        <f t="shared" ref="H3:H17" si="1">F3-G3</f>
        <v>254767449</v>
      </c>
      <c r="I3" s="14">
        <f t="shared" ref="I3:I17" si="2">IFERROR(H3/F3,0)</f>
        <v>0.2600284887</v>
      </c>
      <c r="J3" s="8" t="s">
        <v>17</v>
      </c>
      <c r="K3" s="15"/>
      <c r="L3" s="15"/>
      <c r="M3" s="9" t="s">
        <v>18</v>
      </c>
      <c r="N3" s="16" t="s">
        <v>19</v>
      </c>
      <c r="O3" s="15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8">
        <v>2.0</v>
      </c>
      <c r="B4" s="16" t="s">
        <v>14</v>
      </c>
      <c r="C4" s="8">
        <v>1.0</v>
      </c>
      <c r="D4" s="9" t="s">
        <v>15</v>
      </c>
      <c r="E4" s="10" t="s">
        <v>20</v>
      </c>
      <c r="F4" s="11">
        <v>3.0618E7</v>
      </c>
      <c r="G4" s="12">
        <v>2.8E7</v>
      </c>
      <c r="H4" s="13">
        <f t="shared" si="1"/>
        <v>2618000</v>
      </c>
      <c r="I4" s="14">
        <f t="shared" si="2"/>
        <v>0.08550525834</v>
      </c>
      <c r="J4" s="8" t="s">
        <v>17</v>
      </c>
      <c r="K4" s="15"/>
      <c r="L4" s="15"/>
      <c r="M4" s="9" t="s">
        <v>18</v>
      </c>
      <c r="N4" s="16" t="s">
        <v>19</v>
      </c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8">
        <v>3.0</v>
      </c>
      <c r="B5" s="16" t="s">
        <v>14</v>
      </c>
      <c r="C5" s="8">
        <v>1.0</v>
      </c>
      <c r="D5" s="9" t="s">
        <v>15</v>
      </c>
      <c r="E5" s="10" t="s">
        <v>21</v>
      </c>
      <c r="F5" s="11">
        <v>5.69646E8</v>
      </c>
      <c r="G5" s="12">
        <v>4.21533E8</v>
      </c>
      <c r="H5" s="13">
        <f t="shared" si="1"/>
        <v>148113000</v>
      </c>
      <c r="I5" s="14">
        <f t="shared" si="2"/>
        <v>0.2600088476</v>
      </c>
      <c r="J5" s="8" t="s">
        <v>17</v>
      </c>
      <c r="K5" s="15"/>
      <c r="L5" s="15"/>
      <c r="M5" s="9" t="s">
        <v>18</v>
      </c>
      <c r="N5" s="16" t="s">
        <v>19</v>
      </c>
      <c r="O5" s="15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>
        <v>4.0</v>
      </c>
      <c r="B6" s="8" t="s">
        <v>14</v>
      </c>
      <c r="C6" s="8">
        <v>1.0</v>
      </c>
      <c r="D6" s="9" t="s">
        <v>15</v>
      </c>
      <c r="E6" s="10" t="s">
        <v>22</v>
      </c>
      <c r="F6" s="11">
        <v>1.29999816E9</v>
      </c>
      <c r="G6" s="12">
        <v>9.19908945E8</v>
      </c>
      <c r="H6" s="13">
        <f t="shared" si="1"/>
        <v>380089215</v>
      </c>
      <c r="I6" s="14">
        <f t="shared" si="2"/>
        <v>0.2923767331</v>
      </c>
      <c r="J6" s="8" t="s">
        <v>17</v>
      </c>
      <c r="K6" s="15"/>
      <c r="L6" s="15"/>
      <c r="M6" s="9" t="s">
        <v>23</v>
      </c>
      <c r="N6" s="16" t="s">
        <v>19</v>
      </c>
      <c r="O6" s="15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8">
        <v>5.0</v>
      </c>
      <c r="B7" s="8" t="s">
        <v>14</v>
      </c>
      <c r="C7" s="8">
        <v>1.0</v>
      </c>
      <c r="D7" s="9" t="s">
        <v>15</v>
      </c>
      <c r="E7" s="10" t="s">
        <v>24</v>
      </c>
      <c r="F7" s="11">
        <v>2.7909144E8</v>
      </c>
      <c r="G7" s="12">
        <v>2.03006743E8</v>
      </c>
      <c r="H7" s="13">
        <f t="shared" si="1"/>
        <v>76084697</v>
      </c>
      <c r="I7" s="14">
        <f t="shared" si="2"/>
        <v>0.2726156596</v>
      </c>
      <c r="J7" s="8" t="s">
        <v>17</v>
      </c>
      <c r="K7" s="15"/>
      <c r="L7" s="15"/>
      <c r="M7" s="9" t="s">
        <v>23</v>
      </c>
      <c r="N7" s="16" t="s">
        <v>19</v>
      </c>
      <c r="O7" s="15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8">
        <v>6.0</v>
      </c>
      <c r="B8" s="8" t="s">
        <v>14</v>
      </c>
      <c r="C8" s="8">
        <v>1.0</v>
      </c>
      <c r="D8" s="9" t="s">
        <v>15</v>
      </c>
      <c r="E8" s="17" t="s">
        <v>25</v>
      </c>
      <c r="F8" s="11">
        <v>2.16E8</v>
      </c>
      <c r="G8" s="12">
        <v>1.9E8</v>
      </c>
      <c r="H8" s="13">
        <f t="shared" si="1"/>
        <v>26000000</v>
      </c>
      <c r="I8" s="14">
        <f t="shared" si="2"/>
        <v>0.1203703704</v>
      </c>
      <c r="J8" s="8" t="s">
        <v>17</v>
      </c>
      <c r="K8" s="15"/>
      <c r="L8" s="15"/>
      <c r="M8" s="9" t="s">
        <v>26</v>
      </c>
      <c r="N8" s="16" t="s">
        <v>19</v>
      </c>
      <c r="O8" s="15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8">
        <v>7.0</v>
      </c>
      <c r="B9" s="8" t="s">
        <v>14</v>
      </c>
      <c r="C9" s="8">
        <v>1.0</v>
      </c>
      <c r="D9" s="9" t="s">
        <v>27</v>
      </c>
      <c r="E9" s="17" t="s">
        <v>28</v>
      </c>
      <c r="F9" s="11">
        <v>4.735775E7</v>
      </c>
      <c r="G9" s="12">
        <v>3.45075E7</v>
      </c>
      <c r="H9" s="13">
        <f t="shared" si="1"/>
        <v>12850250</v>
      </c>
      <c r="I9" s="14">
        <f t="shared" si="2"/>
        <v>0.2713441834</v>
      </c>
      <c r="J9" s="8" t="s">
        <v>17</v>
      </c>
      <c r="K9" s="15"/>
      <c r="L9" s="15"/>
      <c r="M9" s="9" t="s">
        <v>18</v>
      </c>
      <c r="N9" s="16" t="s">
        <v>19</v>
      </c>
      <c r="O9" s="15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8">
        <v>8.0</v>
      </c>
      <c r="B10" s="8" t="s">
        <v>14</v>
      </c>
      <c r="C10" s="8">
        <v>1.0</v>
      </c>
      <c r="D10" s="9" t="s">
        <v>27</v>
      </c>
      <c r="E10" s="17" t="s">
        <v>29</v>
      </c>
      <c r="F10" s="11">
        <v>8717500.0</v>
      </c>
      <c r="G10" s="12">
        <v>6427200.0</v>
      </c>
      <c r="H10" s="13">
        <f t="shared" si="1"/>
        <v>2290300</v>
      </c>
      <c r="I10" s="14">
        <f t="shared" si="2"/>
        <v>0.2627244049</v>
      </c>
      <c r="J10" s="8" t="s">
        <v>17</v>
      </c>
      <c r="K10" s="15"/>
      <c r="L10" s="15"/>
      <c r="M10" s="9" t="s">
        <v>18</v>
      </c>
      <c r="N10" s="16" t="s">
        <v>19</v>
      </c>
      <c r="O10" s="15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8">
        <v>9.0</v>
      </c>
      <c r="B11" s="8" t="s">
        <v>14</v>
      </c>
      <c r="C11" s="8">
        <v>1.0</v>
      </c>
      <c r="D11" s="9" t="s">
        <v>27</v>
      </c>
      <c r="E11" s="17" t="s">
        <v>30</v>
      </c>
      <c r="F11" s="11">
        <v>1.20175E7</v>
      </c>
      <c r="G11" s="12">
        <v>6725000.0</v>
      </c>
      <c r="H11" s="13">
        <f t="shared" si="1"/>
        <v>5292500</v>
      </c>
      <c r="I11" s="14">
        <f t="shared" si="2"/>
        <v>0.4403994175</v>
      </c>
      <c r="J11" s="8" t="s">
        <v>17</v>
      </c>
      <c r="K11" s="15"/>
      <c r="L11" s="15"/>
      <c r="M11" s="9" t="s">
        <v>18</v>
      </c>
      <c r="N11" s="16" t="s">
        <v>19</v>
      </c>
      <c r="O11" s="15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8">
        <v>10.0</v>
      </c>
      <c r="B12" s="8" t="s">
        <v>14</v>
      </c>
      <c r="C12" s="8">
        <v>1.0</v>
      </c>
      <c r="D12" s="9" t="s">
        <v>27</v>
      </c>
      <c r="E12" s="17" t="s">
        <v>31</v>
      </c>
      <c r="F12" s="11">
        <v>2.4398E7</v>
      </c>
      <c r="G12" s="12">
        <v>1.6775E7</v>
      </c>
      <c r="H12" s="13">
        <f t="shared" si="1"/>
        <v>7623000</v>
      </c>
      <c r="I12" s="14">
        <f t="shared" si="2"/>
        <v>0.3124436429</v>
      </c>
      <c r="J12" s="8" t="s">
        <v>17</v>
      </c>
      <c r="K12" s="15"/>
      <c r="L12" s="15"/>
      <c r="M12" s="9" t="s">
        <v>18</v>
      </c>
      <c r="N12" s="16" t="s">
        <v>19</v>
      </c>
      <c r="O12" s="15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8">
        <v>11.0</v>
      </c>
      <c r="B13" s="8" t="s">
        <v>14</v>
      </c>
      <c r="C13" s="8">
        <v>1.0</v>
      </c>
      <c r="D13" s="9" t="s">
        <v>27</v>
      </c>
      <c r="E13" s="17" t="s">
        <v>32</v>
      </c>
      <c r="F13" s="11">
        <v>3.52825E7</v>
      </c>
      <c r="G13" s="12">
        <v>2.1645E7</v>
      </c>
      <c r="H13" s="13">
        <f t="shared" si="1"/>
        <v>13637500</v>
      </c>
      <c r="I13" s="14">
        <f t="shared" si="2"/>
        <v>0.3865230638</v>
      </c>
      <c r="J13" s="8" t="s">
        <v>17</v>
      </c>
      <c r="K13" s="15"/>
      <c r="L13" s="15"/>
      <c r="M13" s="9" t="s">
        <v>18</v>
      </c>
      <c r="N13" s="16" t="s">
        <v>19</v>
      </c>
      <c r="O13" s="15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8">
        <v>12.0</v>
      </c>
      <c r="B14" s="8" t="s">
        <v>14</v>
      </c>
      <c r="C14" s="8">
        <v>1.0</v>
      </c>
      <c r="D14" s="9" t="s">
        <v>27</v>
      </c>
      <c r="E14" s="17" t="s">
        <v>33</v>
      </c>
      <c r="F14" s="11">
        <v>2.13015E7</v>
      </c>
      <c r="G14" s="12">
        <v>1.446E7</v>
      </c>
      <c r="H14" s="13">
        <f t="shared" si="1"/>
        <v>6841500</v>
      </c>
      <c r="I14" s="14">
        <f t="shared" si="2"/>
        <v>0.3211745652</v>
      </c>
      <c r="J14" s="8" t="s">
        <v>17</v>
      </c>
      <c r="K14" s="15"/>
      <c r="L14" s="15"/>
      <c r="M14" s="9" t="s">
        <v>18</v>
      </c>
      <c r="N14" s="16" t="s">
        <v>19</v>
      </c>
      <c r="O14" s="15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8">
        <v>13.0</v>
      </c>
      <c r="B15" s="16" t="s">
        <v>14</v>
      </c>
      <c r="C15" s="8">
        <v>1.0</v>
      </c>
      <c r="D15" s="9" t="s">
        <v>27</v>
      </c>
      <c r="E15" s="17" t="s">
        <v>34</v>
      </c>
      <c r="F15" s="11">
        <v>1705000.0</v>
      </c>
      <c r="G15" s="12">
        <v>0.0</v>
      </c>
      <c r="H15" s="13">
        <f t="shared" si="1"/>
        <v>1705000</v>
      </c>
      <c r="I15" s="14">
        <f t="shared" si="2"/>
        <v>1</v>
      </c>
      <c r="J15" s="8" t="s">
        <v>17</v>
      </c>
      <c r="K15" s="15"/>
      <c r="L15" s="15"/>
      <c r="M15" s="9" t="s">
        <v>18</v>
      </c>
      <c r="N15" s="16" t="s">
        <v>19</v>
      </c>
      <c r="O15" s="15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8">
        <v>14.0</v>
      </c>
      <c r="B16" s="16" t="s">
        <v>14</v>
      </c>
      <c r="C16" s="16">
        <v>1.0</v>
      </c>
      <c r="D16" s="9" t="s">
        <v>27</v>
      </c>
      <c r="E16" s="17" t="s">
        <v>35</v>
      </c>
      <c r="F16" s="11">
        <v>1.35E7</v>
      </c>
      <c r="G16" s="12">
        <v>8000000.0</v>
      </c>
      <c r="H16" s="13">
        <f t="shared" si="1"/>
        <v>5500000</v>
      </c>
      <c r="I16" s="14">
        <f t="shared" si="2"/>
        <v>0.4074074074</v>
      </c>
      <c r="J16" s="8" t="s">
        <v>17</v>
      </c>
      <c r="K16" s="15"/>
      <c r="L16" s="15"/>
      <c r="M16" s="9" t="s">
        <v>36</v>
      </c>
      <c r="N16" s="16" t="s">
        <v>19</v>
      </c>
      <c r="O16" s="15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8">
        <v>15.0</v>
      </c>
      <c r="B17" s="16" t="s">
        <v>14</v>
      </c>
      <c r="C17" s="16">
        <v>1.0</v>
      </c>
      <c r="D17" s="9" t="s">
        <v>37</v>
      </c>
      <c r="E17" s="17" t="s">
        <v>38</v>
      </c>
      <c r="F17" s="11">
        <v>2.76797E8</v>
      </c>
      <c r="G17" s="12">
        <v>2.48346E8</v>
      </c>
      <c r="H17" s="13">
        <f t="shared" si="1"/>
        <v>28451000</v>
      </c>
      <c r="I17" s="14">
        <f t="shared" si="2"/>
        <v>0.1027865186</v>
      </c>
      <c r="J17" s="8" t="s">
        <v>17</v>
      </c>
      <c r="K17" s="15"/>
      <c r="L17" s="15"/>
      <c r="M17" s="9" t="s">
        <v>18</v>
      </c>
      <c r="N17" s="16" t="s">
        <v>19</v>
      </c>
      <c r="O17" s="15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8"/>
      <c r="C18" s="1"/>
      <c r="D18" s="1"/>
      <c r="E18" s="1"/>
      <c r="F18" s="19"/>
      <c r="G18" s="19"/>
      <c r="H18" s="19"/>
      <c r="I18" s="20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2"/>
      <c r="G19" s="2"/>
      <c r="H19" s="2"/>
      <c r="I19" s="3"/>
      <c r="J19" s="1"/>
      <c r="K19" s="1"/>
      <c r="L19" s="1"/>
      <c r="M19" s="1"/>
      <c r="N19" s="1"/>
      <c r="O19" s="1"/>
      <c r="P19" s="1"/>
      <c r="Q19" s="1"/>
      <c r="R19" s="1"/>
      <c r="S19" s="21"/>
      <c r="T19" s="2"/>
      <c r="U19" s="21"/>
      <c r="V19" s="2"/>
      <c r="W19" s="3"/>
      <c r="X19" s="3"/>
      <c r="Y19" s="1"/>
    </row>
    <row r="20">
      <c r="A20" s="1"/>
      <c r="B20" s="1"/>
      <c r="C20" s="1"/>
      <c r="D20" s="22" t="s">
        <v>39</v>
      </c>
      <c r="E20" s="23" t="s">
        <v>14</v>
      </c>
      <c r="F20" s="13">
        <f t="shared" ref="F20:F21" si="3">SUMIFS($F$3:$F$19,$B$3:$B$19,E20)</f>
        <v>3816197799</v>
      </c>
      <c r="G20" s="13">
        <f t="shared" ref="G20:G21" si="4">SUMIFS($G$3:$G$19,$B$3:$B$19,E20)</f>
        <v>2844334388</v>
      </c>
      <c r="H20" s="13">
        <f t="shared" ref="H20:H21" si="5">SUMIFS($H$3:$H$19,$B$3:$B$19,E20)</f>
        <v>971863411</v>
      </c>
      <c r="I20" s="14">
        <f t="shared" ref="I20:I24" si="6">IFERROR(H20/F20,0)</f>
        <v>0.2546679869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23" t="s">
        <v>40</v>
      </c>
      <c r="F21" s="13">
        <f t="shared" si="3"/>
        <v>0</v>
      </c>
      <c r="G21" s="13">
        <f t="shared" si="4"/>
        <v>0</v>
      </c>
      <c r="H21" s="13">
        <f t="shared" si="5"/>
        <v>0</v>
      </c>
      <c r="I21" s="14">
        <f t="shared" si="6"/>
        <v>0</v>
      </c>
      <c r="J21" s="24" t="s">
        <v>41</v>
      </c>
      <c r="K21" s="25"/>
      <c r="L21" s="25"/>
      <c r="M21" s="25"/>
      <c r="N21" s="25"/>
      <c r="O21" s="26"/>
      <c r="P21" s="1"/>
      <c r="Q21" s="1"/>
      <c r="R21" s="1"/>
      <c r="S21" s="1"/>
      <c r="T21" s="2"/>
      <c r="U21" s="1"/>
      <c r="V21" s="2"/>
      <c r="W21" s="1"/>
      <c r="X21" s="1"/>
      <c r="Y21" s="1"/>
    </row>
    <row r="22">
      <c r="A22" s="1"/>
      <c r="B22" s="1"/>
      <c r="C22" s="1"/>
      <c r="D22" s="1"/>
      <c r="E22" s="27" t="s">
        <v>42</v>
      </c>
      <c r="F22" s="28">
        <f t="shared" ref="F22:H22" si="7">SUM(F20:F21)</f>
        <v>3816197799</v>
      </c>
      <c r="G22" s="29">
        <f t="shared" si="7"/>
        <v>2844334388</v>
      </c>
      <c r="H22" s="28">
        <f t="shared" si="7"/>
        <v>971863411</v>
      </c>
      <c r="I22" s="30">
        <f t="shared" si="6"/>
        <v>0.2546679869</v>
      </c>
      <c r="J22" s="31">
        <f>SUM(F22:F24)</f>
        <v>3816197799</v>
      </c>
      <c r="K22" s="25"/>
      <c r="L22" s="25"/>
      <c r="M22" s="26"/>
      <c r="N22" s="32">
        <f>SUM(H22:H24)</f>
        <v>971863411</v>
      </c>
      <c r="O22" s="30">
        <f>(I22:I24)</f>
        <v>0.2546679869</v>
      </c>
      <c r="P22" s="1"/>
      <c r="Q22" s="22">
        <v>7238444.0</v>
      </c>
      <c r="R22" s="22">
        <v>1942383.0</v>
      </c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23" t="s">
        <v>43</v>
      </c>
      <c r="F23" s="13">
        <f t="shared" ref="F23:F24" si="8">SUMIFS($F$3:$F$19,$B$3:$B$19,E23)</f>
        <v>0</v>
      </c>
      <c r="G23" s="13">
        <f>SUMIFS($G$3:$G$19,$B$3:$B$19,E23)</f>
        <v>0</v>
      </c>
      <c r="H23" s="13">
        <f t="shared" ref="H23:H24" si="9">SUMIFS($H$3:$H$19,$B$3:$B$19,E23)</f>
        <v>0</v>
      </c>
      <c r="I23" s="14">
        <f t="shared" si="6"/>
        <v>0</v>
      </c>
      <c r="J23" s="33" t="s">
        <v>44</v>
      </c>
      <c r="K23" s="25"/>
      <c r="L23" s="25"/>
      <c r="M23" s="25"/>
      <c r="N23" s="25"/>
      <c r="O23" s="26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23" t="s">
        <v>45</v>
      </c>
      <c r="F24" s="13">
        <f t="shared" si="8"/>
        <v>0</v>
      </c>
      <c r="G24" s="13">
        <f>SUMIFS($F$3:$F$19,$B$3:$B$19,E24)</f>
        <v>0</v>
      </c>
      <c r="H24" s="13">
        <f t="shared" si="9"/>
        <v>0</v>
      </c>
      <c r="I24" s="14">
        <f t="shared" si="6"/>
        <v>0</v>
      </c>
      <c r="J24" s="34"/>
      <c r="K24" s="25"/>
      <c r="L24" s="25"/>
      <c r="M24" s="26"/>
      <c r="N24" s="28"/>
      <c r="O24" s="30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2"/>
      <c r="G25" s="2"/>
      <c r="H25" s="2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6">
        <v>16.0</v>
      </c>
      <c r="B26" s="8" t="s">
        <v>14</v>
      </c>
      <c r="C26" s="8">
        <v>2.0</v>
      </c>
      <c r="D26" s="9" t="s">
        <v>15</v>
      </c>
      <c r="E26" s="10" t="s">
        <v>46</v>
      </c>
      <c r="F26" s="11">
        <v>1.478282E8</v>
      </c>
      <c r="G26" s="12">
        <v>1.05992809E8</v>
      </c>
      <c r="H26" s="13">
        <f t="shared" ref="H26:H30" si="10">F26-G26</f>
        <v>41835391</v>
      </c>
      <c r="I26" s="14">
        <f t="shared" ref="I26:I30" si="11">IFERROR(H26/F26,0)</f>
        <v>0.2830000704</v>
      </c>
      <c r="J26" s="8" t="s">
        <v>17</v>
      </c>
      <c r="K26" s="15"/>
      <c r="L26" s="15"/>
      <c r="M26" s="9" t="s">
        <v>18</v>
      </c>
      <c r="N26" s="16" t="s">
        <v>19</v>
      </c>
      <c r="O26" s="15"/>
      <c r="P26" s="35"/>
      <c r="Q26" s="1"/>
      <c r="R26" s="1"/>
      <c r="S26" s="21"/>
      <c r="T26" s="2"/>
      <c r="U26" s="21"/>
      <c r="V26" s="2"/>
      <c r="W26" s="3"/>
      <c r="X26" s="3"/>
      <c r="Y26" s="1"/>
    </row>
    <row r="27">
      <c r="A27" s="16">
        <v>17.0</v>
      </c>
      <c r="B27" s="8" t="s">
        <v>14</v>
      </c>
      <c r="C27" s="8">
        <v>2.0</v>
      </c>
      <c r="D27" s="9" t="s">
        <v>15</v>
      </c>
      <c r="E27" s="10" t="s">
        <v>47</v>
      </c>
      <c r="F27" s="11">
        <v>4.482E7</v>
      </c>
      <c r="G27" s="12">
        <v>3.37646E7</v>
      </c>
      <c r="H27" s="13">
        <f t="shared" si="10"/>
        <v>11055400</v>
      </c>
      <c r="I27" s="14">
        <f t="shared" si="11"/>
        <v>0.2466622044</v>
      </c>
      <c r="J27" s="8" t="s">
        <v>17</v>
      </c>
      <c r="K27" s="15"/>
      <c r="L27" s="15"/>
      <c r="M27" s="9" t="s">
        <v>18</v>
      </c>
      <c r="N27" s="16" t="s">
        <v>19</v>
      </c>
      <c r="O27" s="15"/>
      <c r="P27" s="35"/>
      <c r="Q27" s="1"/>
      <c r="R27" s="1"/>
      <c r="S27" s="21"/>
      <c r="T27" s="2"/>
      <c r="U27" s="21"/>
      <c r="V27" s="2"/>
      <c r="W27" s="3"/>
      <c r="X27" s="3"/>
      <c r="Y27" s="1"/>
    </row>
    <row r="28">
      <c r="A28" s="16">
        <v>18.0</v>
      </c>
      <c r="B28" s="8" t="s">
        <v>14</v>
      </c>
      <c r="C28" s="8">
        <v>2.0</v>
      </c>
      <c r="D28" s="9" t="s">
        <v>15</v>
      </c>
      <c r="E28" s="10" t="s">
        <v>48</v>
      </c>
      <c r="F28" s="11">
        <v>2.134404E8</v>
      </c>
      <c r="G28" s="12">
        <v>1.37703212E8</v>
      </c>
      <c r="H28" s="13">
        <f t="shared" si="10"/>
        <v>75737188</v>
      </c>
      <c r="I28" s="14">
        <f t="shared" si="11"/>
        <v>0.3548399834</v>
      </c>
      <c r="J28" s="8" t="s">
        <v>17</v>
      </c>
      <c r="K28" s="15"/>
      <c r="L28" s="15"/>
      <c r="M28" s="9" t="s">
        <v>18</v>
      </c>
      <c r="N28" s="16" t="s">
        <v>19</v>
      </c>
      <c r="O28" s="15"/>
      <c r="P28" s="35"/>
      <c r="Q28" s="1"/>
      <c r="R28" s="1"/>
      <c r="S28" s="21"/>
      <c r="T28" s="2"/>
      <c r="U28" s="21"/>
      <c r="V28" s="2"/>
      <c r="W28" s="3"/>
      <c r="X28" s="3"/>
      <c r="Y28" s="1"/>
    </row>
    <row r="29">
      <c r="A29" s="16">
        <v>19.0</v>
      </c>
      <c r="B29" s="8" t="s">
        <v>14</v>
      </c>
      <c r="C29" s="8">
        <v>2.0</v>
      </c>
      <c r="D29" s="9" t="s">
        <v>15</v>
      </c>
      <c r="E29" s="36" t="s">
        <v>49</v>
      </c>
      <c r="F29" s="12">
        <v>5538461.0</v>
      </c>
      <c r="G29" s="12">
        <v>5000000.0</v>
      </c>
      <c r="H29" s="37">
        <f t="shared" si="10"/>
        <v>538461</v>
      </c>
      <c r="I29" s="14">
        <f t="shared" si="11"/>
        <v>0.09722213445</v>
      </c>
      <c r="J29" s="8" t="s">
        <v>17</v>
      </c>
      <c r="K29" s="15"/>
      <c r="L29" s="15"/>
      <c r="M29" s="9" t="s">
        <v>18</v>
      </c>
      <c r="N29" s="16" t="s">
        <v>19</v>
      </c>
      <c r="O29" s="15"/>
      <c r="P29" s="35"/>
      <c r="Q29" s="1"/>
      <c r="R29" s="1"/>
      <c r="S29" s="21"/>
      <c r="T29" s="2"/>
      <c r="U29" s="21"/>
      <c r="V29" s="2"/>
      <c r="W29" s="3"/>
      <c r="X29" s="3"/>
      <c r="Y29" s="1"/>
    </row>
    <row r="30">
      <c r="A30" s="16">
        <v>20.0</v>
      </c>
      <c r="B30" s="16" t="s">
        <v>14</v>
      </c>
      <c r="C30" s="8">
        <v>2.0</v>
      </c>
      <c r="D30" s="9" t="s">
        <v>50</v>
      </c>
      <c r="E30" s="17" t="s">
        <v>51</v>
      </c>
      <c r="F30" s="11">
        <v>1.8194E8</v>
      </c>
      <c r="G30" s="12">
        <v>1.14765E8</v>
      </c>
      <c r="H30" s="37">
        <f t="shared" si="10"/>
        <v>67175000</v>
      </c>
      <c r="I30" s="14">
        <f t="shared" si="11"/>
        <v>0.3692151259</v>
      </c>
      <c r="J30" s="8" t="s">
        <v>17</v>
      </c>
      <c r="K30" s="15"/>
      <c r="L30" s="15"/>
      <c r="M30" s="9" t="s">
        <v>18</v>
      </c>
      <c r="N30" s="16" t="s">
        <v>52</v>
      </c>
      <c r="O30" s="15"/>
      <c r="P30" s="35"/>
      <c r="Q30" s="1"/>
      <c r="R30" s="1"/>
      <c r="S30" s="21"/>
      <c r="T30" s="2"/>
      <c r="U30" s="21"/>
      <c r="V30" s="2"/>
      <c r="W30" s="3"/>
      <c r="X30" s="3"/>
      <c r="Y30" s="1"/>
    </row>
    <row r="31">
      <c r="A31" s="18"/>
      <c r="B31" s="18"/>
      <c r="C31" s="18"/>
      <c r="D31" s="1"/>
      <c r="E31" s="35"/>
      <c r="F31" s="19"/>
      <c r="G31" s="19"/>
      <c r="H31" s="19"/>
      <c r="I31" s="20"/>
      <c r="J31" s="18"/>
      <c r="K31" s="1"/>
      <c r="L31" s="1"/>
      <c r="M31" s="1"/>
      <c r="N31" s="1"/>
      <c r="O31" s="1"/>
      <c r="P31" s="35"/>
      <c r="Q31" s="1"/>
      <c r="R31" s="1"/>
      <c r="S31" s="21"/>
      <c r="T31" s="2"/>
      <c r="U31" s="21"/>
      <c r="V31" s="2"/>
      <c r="W31" s="3"/>
      <c r="X31" s="3"/>
      <c r="Y31" s="1"/>
    </row>
    <row r="32">
      <c r="A32" s="1"/>
      <c r="B32" s="1"/>
      <c r="C32" s="1"/>
      <c r="D32" s="1"/>
      <c r="E32" s="1"/>
      <c r="F32" s="2"/>
      <c r="G32" s="2"/>
      <c r="H32" s="2"/>
      <c r="I32" s="3"/>
      <c r="J32" s="1"/>
      <c r="K32" s="1"/>
      <c r="L32" s="1"/>
      <c r="M32" s="1"/>
      <c r="N32" s="1"/>
      <c r="O32" s="1"/>
      <c r="P32" s="1"/>
      <c r="Q32" s="1"/>
      <c r="R32" s="1"/>
      <c r="S32" s="21"/>
      <c r="T32" s="2"/>
      <c r="U32" s="21"/>
      <c r="V32" s="2"/>
      <c r="W32" s="1"/>
      <c r="X32" s="1"/>
      <c r="Y32" s="1"/>
    </row>
    <row r="33">
      <c r="A33" s="1"/>
      <c r="B33" s="1"/>
      <c r="C33" s="1"/>
      <c r="D33" s="22" t="s">
        <v>53</v>
      </c>
      <c r="E33" s="23" t="s">
        <v>14</v>
      </c>
      <c r="F33" s="13">
        <f t="shared" ref="F33:F34" si="12">SUMIFS($F$26:$F$32,$B$26:$B$32,E33)</f>
        <v>593567061</v>
      </c>
      <c r="G33" s="13">
        <f t="shared" ref="G33:G34" si="13">SUMIFS($G$26:$G$32,$B$26:$B$32,E33)</f>
        <v>397225621</v>
      </c>
      <c r="H33" s="13">
        <f t="shared" ref="H33:H34" si="14">SUMIFS($H$26:$H$32,$B$26:$B$32,E33)</f>
        <v>196341440</v>
      </c>
      <c r="I33" s="14">
        <f t="shared" ref="I33:I37" si="15">IFERROR(H33/F33,0)</f>
        <v>0.3307822366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23" t="s">
        <v>40</v>
      </c>
      <c r="F34" s="13">
        <f t="shared" si="12"/>
        <v>0</v>
      </c>
      <c r="G34" s="13">
        <f t="shared" si="13"/>
        <v>0</v>
      </c>
      <c r="H34" s="13">
        <f t="shared" si="14"/>
        <v>0</v>
      </c>
      <c r="I34" s="14">
        <f t="shared" si="15"/>
        <v>0</v>
      </c>
      <c r="J34" s="24" t="s">
        <v>41</v>
      </c>
      <c r="K34" s="25"/>
      <c r="L34" s="25"/>
      <c r="M34" s="25"/>
      <c r="N34" s="25"/>
      <c r="O34" s="26"/>
      <c r="P34" s="35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27" t="s">
        <v>42</v>
      </c>
      <c r="F35" s="28">
        <f t="shared" ref="F35:H35" si="16">SUM(F33:F34)</f>
        <v>593567061</v>
      </c>
      <c r="G35" s="29">
        <f t="shared" si="16"/>
        <v>397225621</v>
      </c>
      <c r="H35" s="28">
        <f t="shared" si="16"/>
        <v>196341440</v>
      </c>
      <c r="I35" s="30">
        <f t="shared" si="15"/>
        <v>0.3307822366</v>
      </c>
      <c r="J35" s="31">
        <f>SUM(F35:F37)</f>
        <v>593567061</v>
      </c>
      <c r="K35" s="25"/>
      <c r="L35" s="25"/>
      <c r="M35" s="26"/>
      <c r="N35" s="32">
        <f>SUM(H35:H37)</f>
        <v>196341440</v>
      </c>
      <c r="O35" s="30">
        <f>(I35:I37)</f>
        <v>0.3307822366</v>
      </c>
      <c r="Q35" s="22">
        <v>1.611533E7</v>
      </c>
      <c r="R35" s="22">
        <v>3153997.0</v>
      </c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23" t="s">
        <v>43</v>
      </c>
      <c r="F36" s="13">
        <f>SUMIFS($F$26:$F$32,$B26:$B$32,E36)</f>
        <v>0</v>
      </c>
      <c r="G36" s="13">
        <f t="shared" ref="G36:G37" si="17">SUMIFS($G$26:$G$32,$B$26:$B$32,E36)</f>
        <v>0</v>
      </c>
      <c r="H36" s="13">
        <f>SUMIFS($H$26:$H$32,$B26:$B$32,E36)</f>
        <v>0</v>
      </c>
      <c r="I36" s="14">
        <f t="shared" si="15"/>
        <v>0</v>
      </c>
      <c r="J36" s="33" t="s">
        <v>44</v>
      </c>
      <c r="K36" s="25"/>
      <c r="L36" s="25"/>
      <c r="M36" s="25"/>
      <c r="N36" s="25"/>
      <c r="O36" s="26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23" t="s">
        <v>45</v>
      </c>
      <c r="F37" s="13">
        <f>SUMIFS($F$26:$F$32,$B$26:$B$32,E37)</f>
        <v>0</v>
      </c>
      <c r="G37" s="13">
        <f t="shared" si="17"/>
        <v>0</v>
      </c>
      <c r="H37" s="13">
        <f>SUMIFS($H$26:$H$32,$B$26:$B$32,E37)</f>
        <v>0</v>
      </c>
      <c r="I37" s="14">
        <f t="shared" si="15"/>
        <v>0</v>
      </c>
      <c r="J37" s="34">
        <f>SUM(F35-J35)</f>
        <v>0</v>
      </c>
      <c r="K37" s="25"/>
      <c r="L37" s="25"/>
      <c r="M37" s="26"/>
      <c r="N37" s="28">
        <f t="shared" ref="N37:O37" si="18">SUM(H35-N35)</f>
        <v>0</v>
      </c>
      <c r="O37" s="30">
        <f t="shared" si="18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2"/>
      <c r="G38" s="2"/>
      <c r="H38" s="2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6">
        <v>21.0</v>
      </c>
      <c r="B39" s="8" t="s">
        <v>14</v>
      </c>
      <c r="C39" s="8">
        <v>3.0</v>
      </c>
      <c r="D39" s="9" t="s">
        <v>15</v>
      </c>
      <c r="E39" s="17" t="s">
        <v>54</v>
      </c>
      <c r="F39" s="11">
        <v>3.902202E7</v>
      </c>
      <c r="G39" s="12">
        <v>2.3407161E7</v>
      </c>
      <c r="H39" s="13">
        <f t="shared" ref="H39:H40" si="19">F39-G39</f>
        <v>15614859</v>
      </c>
      <c r="I39" s="14">
        <f t="shared" ref="I39:I40" si="20">IFERROR(H39/F39,0)</f>
        <v>0.4001550663</v>
      </c>
      <c r="J39" s="8" t="s">
        <v>17</v>
      </c>
      <c r="K39" s="15"/>
      <c r="L39" s="15"/>
      <c r="M39" s="9" t="s">
        <v>26</v>
      </c>
      <c r="N39" s="16" t="s">
        <v>19</v>
      </c>
      <c r="O39" s="36"/>
      <c r="P39" s="35"/>
      <c r="Q39" s="1"/>
      <c r="R39" s="1"/>
      <c r="S39" s="2"/>
      <c r="T39" s="2"/>
      <c r="U39" s="2"/>
      <c r="V39" s="2"/>
      <c r="W39" s="1"/>
      <c r="X39" s="1"/>
      <c r="Y39" s="1"/>
    </row>
    <row r="40">
      <c r="A40" s="16">
        <v>22.0</v>
      </c>
      <c r="B40" s="16" t="s">
        <v>14</v>
      </c>
      <c r="C40" s="8">
        <v>3.0</v>
      </c>
      <c r="D40" s="9" t="s">
        <v>27</v>
      </c>
      <c r="E40" s="38" t="s">
        <v>55</v>
      </c>
      <c r="F40" s="39">
        <v>2.7742E7</v>
      </c>
      <c r="G40" s="39">
        <v>1.681E7</v>
      </c>
      <c r="H40" s="13">
        <f t="shared" si="19"/>
        <v>10932000</v>
      </c>
      <c r="I40" s="14">
        <f t="shared" si="20"/>
        <v>0.3940595487</v>
      </c>
      <c r="J40" s="8" t="s">
        <v>17</v>
      </c>
      <c r="K40" s="15"/>
      <c r="L40" s="15"/>
      <c r="M40" s="9" t="s">
        <v>23</v>
      </c>
      <c r="N40" s="16" t="s">
        <v>19</v>
      </c>
      <c r="O40" s="36"/>
      <c r="P40" s="1"/>
      <c r="Q40" s="1"/>
      <c r="R40" s="1"/>
      <c r="S40" s="21"/>
      <c r="T40" s="2"/>
      <c r="U40" s="21"/>
      <c r="V40" s="2"/>
      <c r="W40" s="1"/>
      <c r="X40" s="1"/>
      <c r="Y40" s="1"/>
    </row>
    <row r="41">
      <c r="A41" s="18"/>
      <c r="B41" s="18"/>
      <c r="C41" s="18"/>
      <c r="D41" s="35"/>
      <c r="E41" s="40"/>
      <c r="F41" s="41"/>
      <c r="G41" s="41"/>
      <c r="H41" s="42"/>
      <c r="I41" s="20"/>
      <c r="J41" s="18"/>
      <c r="K41" s="1"/>
      <c r="L41" s="1"/>
      <c r="M41" s="1"/>
      <c r="N41" s="1"/>
      <c r="O41" s="35"/>
      <c r="P41" s="35"/>
      <c r="Q41" s="1"/>
      <c r="R41" s="1"/>
      <c r="S41" s="21"/>
      <c r="T41" s="2"/>
      <c r="U41" s="21"/>
      <c r="V41" s="43"/>
      <c r="W41" s="1"/>
      <c r="X41" s="1"/>
      <c r="Y41" s="1"/>
    </row>
    <row r="42">
      <c r="A42" s="1"/>
      <c r="B42" s="1"/>
      <c r="C42" s="1"/>
      <c r="D42" s="1"/>
      <c r="E42" s="1"/>
      <c r="F42" s="2"/>
      <c r="G42" s="2"/>
      <c r="H42" s="2"/>
      <c r="I42" s="3"/>
      <c r="J42" s="1"/>
      <c r="K42" s="1"/>
      <c r="L42" s="1"/>
      <c r="M42" s="1"/>
      <c r="N42" s="1"/>
      <c r="O42" s="35"/>
      <c r="P42" s="35"/>
      <c r="Q42" s="1"/>
      <c r="R42" s="1"/>
      <c r="S42" s="2"/>
      <c r="T42" s="2"/>
      <c r="U42" s="2"/>
      <c r="V42" s="2"/>
      <c r="W42" s="1"/>
      <c r="X42" s="1"/>
      <c r="Y42" s="1"/>
    </row>
    <row r="43">
      <c r="A43" s="1"/>
      <c r="B43" s="1"/>
      <c r="C43" s="1"/>
      <c r="D43" s="22" t="s">
        <v>56</v>
      </c>
      <c r="E43" s="23" t="s">
        <v>14</v>
      </c>
      <c r="F43" s="13">
        <f t="shared" ref="F43:F44" si="21">SUMIFS($F$39:$F$42,$B$39:$B$42,E43)</f>
        <v>66764020</v>
      </c>
      <c r="G43" s="13">
        <f t="shared" ref="G43:G44" si="22">SUMIFS($G$39:$G$42,$B$39:$B$42,E43)</f>
        <v>40217161</v>
      </c>
      <c r="H43" s="13">
        <f t="shared" ref="H43:H44" si="23">SUMIFS($H$39:$H$42,$B$39:$B$42,E43)</f>
        <v>26546859</v>
      </c>
      <c r="I43" s="14">
        <f t="shared" ref="I43:I53" si="24">IFERROR(H43/F43,0)</f>
        <v>0.3976222372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23" t="s">
        <v>40</v>
      </c>
      <c r="F44" s="13">
        <f t="shared" si="21"/>
        <v>0</v>
      </c>
      <c r="G44" s="13">
        <f t="shared" si="22"/>
        <v>0</v>
      </c>
      <c r="H44" s="13">
        <f t="shared" si="23"/>
        <v>0</v>
      </c>
      <c r="I44" s="14">
        <f t="shared" si="24"/>
        <v>0</v>
      </c>
      <c r="J44" s="24" t="s">
        <v>41</v>
      </c>
      <c r="K44" s="25"/>
      <c r="L44" s="25"/>
      <c r="M44" s="25"/>
      <c r="N44" s="25"/>
      <c r="O44" s="26"/>
      <c r="P44" s="44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27" t="s">
        <v>42</v>
      </c>
      <c r="F45" s="28">
        <f t="shared" ref="F45:H45" si="25">SUM(F43:F44)</f>
        <v>66764020</v>
      </c>
      <c r="G45" s="29">
        <f t="shared" si="25"/>
        <v>40217161</v>
      </c>
      <c r="H45" s="28">
        <f t="shared" si="25"/>
        <v>26546859</v>
      </c>
      <c r="I45" s="30">
        <f t="shared" si="24"/>
        <v>0.3976222372</v>
      </c>
      <c r="J45" s="31">
        <f>SUM(F45:F47)</f>
        <v>66764020</v>
      </c>
      <c r="K45" s="25"/>
      <c r="L45" s="25"/>
      <c r="M45" s="26"/>
      <c r="N45" s="32">
        <f>SUM(H45:H47)</f>
        <v>26546859</v>
      </c>
      <c r="O45" s="30">
        <f>(I45:I47)</f>
        <v>0.3976222372</v>
      </c>
      <c r="P45" s="45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23" t="s">
        <v>43</v>
      </c>
      <c r="F46" s="13">
        <f t="shared" ref="F46:F47" si="26">SUMIFS($F$39:$F$42,$B$39:$B$42,E46)</f>
        <v>0</v>
      </c>
      <c r="G46" s="13">
        <f t="shared" ref="G46:G47" si="27">SUMIFS($G$39:$G$42,$B$39:$B$42,E46)</f>
        <v>0</v>
      </c>
      <c r="H46" s="13">
        <f t="shared" ref="H46:H47" si="28">SUMIFS($H$39:$H$42,$B$39:$B$42,E46)</f>
        <v>0</v>
      </c>
      <c r="I46" s="14">
        <f t="shared" si="24"/>
        <v>0</v>
      </c>
      <c r="J46" s="33" t="s">
        <v>44</v>
      </c>
      <c r="K46" s="25"/>
      <c r="L46" s="25"/>
      <c r="M46" s="25"/>
      <c r="N46" s="25"/>
      <c r="O46" s="26"/>
      <c r="P46" s="45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23" t="s">
        <v>45</v>
      </c>
      <c r="F47" s="13">
        <f t="shared" si="26"/>
        <v>0</v>
      </c>
      <c r="G47" s="13">
        <f t="shared" si="27"/>
        <v>0</v>
      </c>
      <c r="H47" s="13">
        <f t="shared" si="28"/>
        <v>0</v>
      </c>
      <c r="I47" s="14">
        <f t="shared" si="24"/>
        <v>0</v>
      </c>
      <c r="J47" s="34">
        <f>SUM(F45-J45)</f>
        <v>0</v>
      </c>
      <c r="K47" s="25"/>
      <c r="L47" s="25"/>
      <c r="M47" s="26"/>
      <c r="N47" s="28">
        <f t="shared" ref="N47:O47" si="29">SUM(H45-N45)</f>
        <v>0</v>
      </c>
      <c r="O47" s="30">
        <f t="shared" si="29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46"/>
      <c r="G48" s="2"/>
      <c r="H48" s="46"/>
      <c r="I48" s="47">
        <f t="shared" si="24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22" t="s">
        <v>57</v>
      </c>
      <c r="E49" s="23" t="s">
        <v>14</v>
      </c>
      <c r="F49" s="13">
        <f t="shared" ref="F49:H49" si="30">SUM(F43+F33+F20)</f>
        <v>4476528880</v>
      </c>
      <c r="G49" s="13">
        <f t="shared" si="30"/>
        <v>3281777170</v>
      </c>
      <c r="H49" s="13">
        <f t="shared" si="30"/>
        <v>1194751710</v>
      </c>
      <c r="I49" s="14">
        <f t="shared" si="24"/>
        <v>0.2668924388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23" t="s">
        <v>40</v>
      </c>
      <c r="F50" s="13">
        <f t="shared" ref="F50:H50" si="31">SUM(F44+F34+F21)</f>
        <v>0</v>
      </c>
      <c r="G50" s="13">
        <f t="shared" si="31"/>
        <v>0</v>
      </c>
      <c r="H50" s="13">
        <f t="shared" si="31"/>
        <v>0</v>
      </c>
      <c r="I50" s="14">
        <f t="shared" si="24"/>
        <v>0</v>
      </c>
      <c r="J50" s="24" t="s">
        <v>41</v>
      </c>
      <c r="K50" s="25"/>
      <c r="L50" s="25"/>
      <c r="M50" s="25"/>
      <c r="N50" s="25"/>
      <c r="O50" s="26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27" t="s">
        <v>42</v>
      </c>
      <c r="F51" s="28">
        <f t="shared" ref="F51:H51" si="32">SUM(F49:F50)</f>
        <v>4476528880</v>
      </c>
      <c r="G51" s="28">
        <f t="shared" si="32"/>
        <v>3281777170</v>
      </c>
      <c r="H51" s="28">
        <f t="shared" si="32"/>
        <v>1194751710</v>
      </c>
      <c r="I51" s="30">
        <f t="shared" si="24"/>
        <v>0.2668924388</v>
      </c>
      <c r="J51" s="31">
        <f>SUM(F51:F53)</f>
        <v>4476528880</v>
      </c>
      <c r="K51" s="25"/>
      <c r="L51" s="25"/>
      <c r="M51" s="26"/>
      <c r="N51" s="32">
        <f>SUM(H51:H53)</f>
        <v>1194751710</v>
      </c>
      <c r="O51" s="30">
        <f>(I51:I53)</f>
        <v>0.2668924388</v>
      </c>
      <c r="P51" s="1"/>
      <c r="Q51" s="22">
        <v>6.8975503E7</v>
      </c>
      <c r="R51" s="22">
        <v>1.3668959E7</v>
      </c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23" t="s">
        <v>43</v>
      </c>
      <c r="F52" s="13">
        <f t="shared" ref="F52:H52" si="33">SUM(F46+F36+F23)</f>
        <v>0</v>
      </c>
      <c r="G52" s="13">
        <f t="shared" si="33"/>
        <v>0</v>
      </c>
      <c r="H52" s="13">
        <f t="shared" si="33"/>
        <v>0</v>
      </c>
      <c r="I52" s="14">
        <f t="shared" si="24"/>
        <v>0</v>
      </c>
      <c r="J52" s="33" t="s">
        <v>44</v>
      </c>
      <c r="K52" s="25"/>
      <c r="L52" s="25"/>
      <c r="M52" s="25"/>
      <c r="N52" s="25"/>
      <c r="O52" s="26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23" t="s">
        <v>45</v>
      </c>
      <c r="F53" s="13">
        <f t="shared" ref="F53:H53" si="34">SUM(F47+F37+F24)</f>
        <v>0</v>
      </c>
      <c r="G53" s="13">
        <f t="shared" si="34"/>
        <v>0</v>
      </c>
      <c r="H53" s="13">
        <f t="shared" si="34"/>
        <v>0</v>
      </c>
      <c r="I53" s="14">
        <f t="shared" si="24"/>
        <v>0</v>
      </c>
      <c r="J53" s="34">
        <f>SUM(F51-J51)</f>
        <v>0</v>
      </c>
      <c r="K53" s="25"/>
      <c r="L53" s="25"/>
      <c r="M53" s="26"/>
      <c r="N53" s="28">
        <f t="shared" ref="N53:O53" si="35">SUM(H51-N51)</f>
        <v>0</v>
      </c>
      <c r="O53" s="30">
        <f t="shared" si="35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2"/>
      <c r="G54" s="2"/>
      <c r="H54" s="2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6">
        <v>23.0</v>
      </c>
      <c r="B55" s="8" t="s">
        <v>14</v>
      </c>
      <c r="C55" s="8">
        <v>4.0</v>
      </c>
      <c r="D55" s="9" t="s">
        <v>15</v>
      </c>
      <c r="E55" s="48" t="s">
        <v>58</v>
      </c>
      <c r="F55" s="39">
        <v>5.70888E7</v>
      </c>
      <c r="G55" s="39">
        <v>3.9482664E7</v>
      </c>
      <c r="H55" s="12">
        <f t="shared" ref="H55:H57" si="36">F55-G55</f>
        <v>17606136</v>
      </c>
      <c r="I55" s="14">
        <f t="shared" ref="I55:I57" si="37">IFERROR(H55/F55,0)</f>
        <v>0.3083991256</v>
      </c>
      <c r="J55" s="8" t="s">
        <v>17</v>
      </c>
      <c r="K55" s="15"/>
      <c r="L55" s="15"/>
      <c r="M55" s="9" t="s">
        <v>18</v>
      </c>
      <c r="N55" s="16" t="s">
        <v>19</v>
      </c>
      <c r="O55" s="36"/>
      <c r="P55" s="35"/>
      <c r="Q55" s="1"/>
      <c r="R55" s="1"/>
      <c r="S55" s="2"/>
      <c r="T55" s="2"/>
      <c r="U55" s="21"/>
      <c r="V55" s="43"/>
      <c r="W55" s="1"/>
      <c r="X55" s="1"/>
      <c r="Y55" s="1"/>
    </row>
    <row r="56">
      <c r="A56" s="16">
        <v>24.0</v>
      </c>
      <c r="B56" s="8" t="s">
        <v>14</v>
      </c>
      <c r="C56" s="8">
        <v>4.0</v>
      </c>
      <c r="D56" s="9" t="s">
        <v>15</v>
      </c>
      <c r="E56" s="48" t="s">
        <v>59</v>
      </c>
      <c r="F56" s="39">
        <v>9.989244E8</v>
      </c>
      <c r="G56" s="12">
        <v>8.22112732E8</v>
      </c>
      <c r="H56" s="12">
        <f t="shared" si="36"/>
        <v>176811668</v>
      </c>
      <c r="I56" s="14">
        <f t="shared" si="37"/>
        <v>0.1770020514</v>
      </c>
      <c r="J56" s="8" t="s">
        <v>17</v>
      </c>
      <c r="K56" s="15"/>
      <c r="L56" s="15"/>
      <c r="M56" s="9" t="s">
        <v>18</v>
      </c>
      <c r="N56" s="16" t="s">
        <v>19</v>
      </c>
      <c r="O56" s="36"/>
      <c r="P56" s="35"/>
      <c r="Q56" s="1"/>
      <c r="R56" s="1"/>
      <c r="S56" s="2"/>
      <c r="T56" s="2"/>
      <c r="U56" s="21"/>
      <c r="V56" s="43"/>
      <c r="W56" s="1"/>
      <c r="X56" s="1"/>
      <c r="Y56" s="1"/>
    </row>
    <row r="57">
      <c r="A57" s="16">
        <v>25.0</v>
      </c>
      <c r="B57" s="16" t="s">
        <v>14</v>
      </c>
      <c r="C57" s="8">
        <v>4.0</v>
      </c>
      <c r="D57" s="9" t="s">
        <v>15</v>
      </c>
      <c r="E57" s="10" t="s">
        <v>60</v>
      </c>
      <c r="F57" s="11">
        <v>8964000.0</v>
      </c>
      <c r="G57" s="12">
        <v>7000000.0</v>
      </c>
      <c r="H57" s="12">
        <f t="shared" si="36"/>
        <v>1964000</v>
      </c>
      <c r="I57" s="14">
        <f t="shared" si="37"/>
        <v>0.2190986167</v>
      </c>
      <c r="J57" s="8" t="s">
        <v>17</v>
      </c>
      <c r="K57" s="15"/>
      <c r="L57" s="15"/>
      <c r="M57" s="9" t="s">
        <v>26</v>
      </c>
      <c r="N57" s="16" t="s">
        <v>19</v>
      </c>
      <c r="O57" s="36"/>
      <c r="P57" s="35"/>
      <c r="Q57" s="1"/>
      <c r="R57" s="1"/>
      <c r="S57" s="2"/>
      <c r="T57" s="2"/>
      <c r="U57" s="21"/>
      <c r="V57" s="43"/>
      <c r="W57" s="1"/>
      <c r="X57" s="1"/>
      <c r="Y57" s="1"/>
    </row>
    <row r="58">
      <c r="A58" s="49"/>
      <c r="B58" s="18"/>
      <c r="C58" s="18"/>
      <c r="D58" s="50"/>
      <c r="E58" s="51"/>
      <c r="F58" s="52"/>
      <c r="G58" s="53"/>
      <c r="H58" s="19"/>
      <c r="I58" s="20"/>
      <c r="J58" s="18"/>
      <c r="K58" s="1"/>
      <c r="L58" s="1"/>
      <c r="M58" s="1"/>
      <c r="N58" s="50"/>
      <c r="O58" s="35"/>
      <c r="P58" s="35"/>
      <c r="Q58" s="1"/>
      <c r="R58" s="1"/>
      <c r="S58" s="2"/>
      <c r="T58" s="2"/>
      <c r="U58" s="21"/>
      <c r="V58" s="43"/>
      <c r="W58" s="1"/>
      <c r="X58" s="1"/>
      <c r="Y58" s="1"/>
    </row>
    <row r="59">
      <c r="A59" s="1"/>
      <c r="B59" s="1"/>
      <c r="C59" s="1"/>
      <c r="D59" s="1"/>
      <c r="E59" s="1"/>
      <c r="F59" s="2"/>
      <c r="G59" s="2"/>
      <c r="H59" s="2"/>
      <c r="I59" s="3"/>
      <c r="J59" s="1"/>
      <c r="K59" s="1"/>
      <c r="L59" s="1"/>
      <c r="M59" s="1"/>
      <c r="N59" s="1"/>
      <c r="O59" s="1"/>
      <c r="P59" s="1"/>
      <c r="Q59" s="1"/>
      <c r="R59" s="1"/>
      <c r="S59" s="2"/>
      <c r="T59" s="2"/>
      <c r="U59" s="2"/>
      <c r="V59" s="2"/>
      <c r="W59" s="1"/>
      <c r="X59" s="1"/>
      <c r="Y59" s="1"/>
    </row>
    <row r="60">
      <c r="A60" s="1"/>
      <c r="B60" s="1"/>
      <c r="C60" s="1"/>
      <c r="D60" s="22" t="s">
        <v>61</v>
      </c>
      <c r="E60" s="23" t="s">
        <v>14</v>
      </c>
      <c r="F60" s="13">
        <f>SUMIFS($F$55:$F$59,$B$55:$B$59,E60)</f>
        <v>1064977200</v>
      </c>
      <c r="G60" s="13">
        <f>SUMIFS($G$55:$G$59,$B$55:$B$59,E60)</f>
        <v>868595396</v>
      </c>
      <c r="H60" s="13">
        <f>SUMIFS($H$55:$H$59,$B$55:$B$59,E60)</f>
        <v>196381804</v>
      </c>
      <c r="I60" s="14">
        <f t="shared" ref="I60:I64" si="38">IFERROR(H60/F60,0)</f>
        <v>0.1844000078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23" t="s">
        <v>40</v>
      </c>
      <c r="F61" s="13">
        <f>SUMIFS($F$56:$F$59,$B$56:$B$59,E61)</f>
        <v>0</v>
      </c>
      <c r="G61" s="13">
        <f>SUMIFS($G$56:$G$59,$B$56:$B$59,E61)</f>
        <v>0</v>
      </c>
      <c r="H61" s="13">
        <f>SUMIFS($H$56:$H$59,$B$56:$B$59,E61)</f>
        <v>0</v>
      </c>
      <c r="I61" s="14">
        <f t="shared" si="38"/>
        <v>0</v>
      </c>
      <c r="J61" s="24" t="s">
        <v>41</v>
      </c>
      <c r="K61" s="25"/>
      <c r="L61" s="25"/>
      <c r="M61" s="25"/>
      <c r="N61" s="25"/>
      <c r="O61" s="26"/>
      <c r="P61" s="54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27" t="s">
        <v>42</v>
      </c>
      <c r="F62" s="28">
        <f t="shared" ref="F62:H62" si="39">SUM(F60:F61)</f>
        <v>1064977200</v>
      </c>
      <c r="G62" s="28">
        <f t="shared" si="39"/>
        <v>868595396</v>
      </c>
      <c r="H62" s="28">
        <f t="shared" si="39"/>
        <v>196381804</v>
      </c>
      <c r="I62" s="30">
        <f t="shared" si="38"/>
        <v>0.1844000078</v>
      </c>
      <c r="J62" s="31">
        <f>SUM(F62:F64)</f>
        <v>1064977200</v>
      </c>
      <c r="K62" s="25"/>
      <c r="L62" s="25"/>
      <c r="M62" s="26"/>
      <c r="N62" s="32">
        <f>SUM(H62:H64)</f>
        <v>196381804</v>
      </c>
      <c r="O62" s="30">
        <f>(I62:I64)</f>
        <v>0.1844000078</v>
      </c>
      <c r="P62" s="45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23" t="s">
        <v>43</v>
      </c>
      <c r="F63" s="13">
        <f t="shared" ref="F63:F64" si="40">SUMIFS($F$55:$F$59,$B$55:$B$59,E63)</f>
        <v>0</v>
      </c>
      <c r="G63" s="13">
        <f t="shared" ref="G63:G64" si="41">SUMIFS($G$55:$G$59,$B$55:$B$59,E63)</f>
        <v>0</v>
      </c>
      <c r="H63" s="13">
        <f t="shared" ref="H63:H64" si="42">SUMIFS($H$55:$H$59,$B$55:$B$59,E63)</f>
        <v>0</v>
      </c>
      <c r="I63" s="14">
        <f t="shared" si="38"/>
        <v>0</v>
      </c>
      <c r="J63" s="33" t="s">
        <v>44</v>
      </c>
      <c r="K63" s="25"/>
      <c r="L63" s="25"/>
      <c r="M63" s="25"/>
      <c r="N63" s="25"/>
      <c r="O63" s="26"/>
      <c r="P63" s="45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23" t="s">
        <v>45</v>
      </c>
      <c r="F64" s="13">
        <f t="shared" si="40"/>
        <v>0</v>
      </c>
      <c r="G64" s="13">
        <f t="shared" si="41"/>
        <v>0</v>
      </c>
      <c r="H64" s="13">
        <f t="shared" si="42"/>
        <v>0</v>
      </c>
      <c r="I64" s="14">
        <f t="shared" si="38"/>
        <v>0</v>
      </c>
      <c r="J64" s="34">
        <f>SUM(F62-J62)</f>
        <v>0</v>
      </c>
      <c r="K64" s="25"/>
      <c r="L64" s="25"/>
      <c r="M64" s="26"/>
      <c r="N64" s="28">
        <f t="shared" ref="N64:O64" si="43">SUM(H62-N62)</f>
        <v>0</v>
      </c>
      <c r="O64" s="30">
        <f t="shared" si="43"/>
        <v>0</v>
      </c>
      <c r="P64" s="45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46"/>
      <c r="G65" s="2"/>
      <c r="H65" s="46"/>
      <c r="I65" s="4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35"/>
      <c r="F66" s="2"/>
      <c r="G66" s="2"/>
      <c r="H66" s="2"/>
      <c r="I66" s="3"/>
      <c r="J66" s="1"/>
      <c r="K66" s="1"/>
      <c r="L66" s="1"/>
      <c r="M66" s="1"/>
      <c r="N66" s="1"/>
      <c r="O66" s="1"/>
      <c r="P66" s="35"/>
      <c r="Q66" s="1"/>
      <c r="R66" s="1"/>
      <c r="S66" s="21"/>
      <c r="T66" s="2"/>
      <c r="U66" s="21"/>
      <c r="V66" s="2"/>
      <c r="W66" s="1"/>
      <c r="X66" s="1"/>
      <c r="Y66" s="1"/>
    </row>
    <row r="67">
      <c r="A67" s="16">
        <v>26.0</v>
      </c>
      <c r="B67" s="16" t="s">
        <v>14</v>
      </c>
      <c r="C67" s="8">
        <v>5.0</v>
      </c>
      <c r="D67" s="9" t="s">
        <v>62</v>
      </c>
      <c r="E67" s="55" t="s">
        <v>63</v>
      </c>
      <c r="F67" s="12">
        <v>1.35E7</v>
      </c>
      <c r="G67" s="12">
        <v>1.0E7</v>
      </c>
      <c r="H67" s="12">
        <f>F67-G67</f>
        <v>3500000</v>
      </c>
      <c r="I67" s="14">
        <f>IFERROR(H67/F67,0)</f>
        <v>0.2592592593</v>
      </c>
      <c r="J67" s="8" t="s">
        <v>17</v>
      </c>
      <c r="K67" s="15"/>
      <c r="L67" s="15"/>
      <c r="M67" s="9" t="s">
        <v>23</v>
      </c>
      <c r="N67" s="16" t="s">
        <v>19</v>
      </c>
      <c r="O67" s="36"/>
      <c r="P67" s="35"/>
      <c r="Q67" s="1"/>
      <c r="R67" s="1"/>
      <c r="S67" s="21"/>
      <c r="T67" s="2"/>
      <c r="U67" s="21"/>
      <c r="V67" s="2"/>
      <c r="W67" s="1"/>
      <c r="X67" s="1"/>
      <c r="Y67" s="1"/>
    </row>
    <row r="68">
      <c r="A68" s="18"/>
      <c r="B68" s="18"/>
      <c r="C68" s="18"/>
      <c r="D68" s="1"/>
      <c r="E68" s="35"/>
      <c r="F68" s="56"/>
      <c r="G68" s="56"/>
      <c r="H68" s="19"/>
      <c r="I68" s="20"/>
      <c r="J68" s="18"/>
      <c r="K68" s="1"/>
      <c r="L68" s="1"/>
      <c r="M68" s="1"/>
      <c r="N68" s="1"/>
      <c r="O68" s="35"/>
      <c r="P68" s="1"/>
      <c r="Q68" s="1"/>
      <c r="R68" s="1"/>
      <c r="S68" s="57"/>
      <c r="T68" s="2"/>
      <c r="U68" s="21"/>
      <c r="V68" s="2"/>
      <c r="W68" s="1"/>
      <c r="X68" s="1"/>
      <c r="Y68" s="1"/>
    </row>
    <row r="69">
      <c r="A69" s="1"/>
      <c r="B69" s="1"/>
      <c r="C69" s="1"/>
      <c r="D69" s="1"/>
      <c r="E69" s="1"/>
      <c r="F69" s="2"/>
      <c r="G69" s="2"/>
      <c r="H69" s="2"/>
      <c r="I69" s="3"/>
      <c r="J69" s="1"/>
      <c r="K69" s="1"/>
      <c r="L69" s="1"/>
      <c r="M69" s="1"/>
      <c r="N69" s="1"/>
      <c r="O69" s="1"/>
      <c r="P69" s="1"/>
      <c r="Q69" s="1"/>
      <c r="R69" s="1"/>
      <c r="S69" s="57"/>
      <c r="T69" s="2"/>
      <c r="U69" s="21"/>
      <c r="V69" s="2"/>
      <c r="W69" s="1"/>
      <c r="X69" s="1"/>
      <c r="Y69" s="1"/>
    </row>
    <row r="70">
      <c r="A70" s="1"/>
      <c r="B70" s="1"/>
      <c r="C70" s="1"/>
      <c r="D70" s="22" t="s">
        <v>64</v>
      </c>
      <c r="E70" s="23" t="s">
        <v>14</v>
      </c>
      <c r="F70" s="58">
        <f>SUMIFS($F$67:$F$68,$B$67:$B$68,E70)</f>
        <v>13500000</v>
      </c>
      <c r="G70" s="58">
        <f t="shared" ref="G70:G71" si="44">SUMIFS($G$67:$G$68,$B$67:$B$68,E70)</f>
        <v>10000000</v>
      </c>
      <c r="H70" s="13">
        <f t="shared" ref="H70:H71" si="45">SUMIFS($H$67:$H$69,$B$67:$B$69,E70)</f>
        <v>3500000</v>
      </c>
      <c r="I70" s="14">
        <f t="shared" ref="I70:I74" si="46">IFERROR(H70/F70,0)</f>
        <v>0.2592592593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59"/>
      <c r="E71" s="23" t="s">
        <v>40</v>
      </c>
      <c r="F71" s="13">
        <f>SUMIFS($F$67:$F$69,$B$67:$B$69,E71)</f>
        <v>0</v>
      </c>
      <c r="G71" s="58">
        <f t="shared" si="44"/>
        <v>0</v>
      </c>
      <c r="H71" s="13">
        <f t="shared" si="45"/>
        <v>0</v>
      </c>
      <c r="I71" s="14">
        <f t="shared" si="46"/>
        <v>0</v>
      </c>
      <c r="J71" s="24" t="s">
        <v>41</v>
      </c>
      <c r="K71" s="25"/>
      <c r="L71" s="25"/>
      <c r="M71" s="25"/>
      <c r="N71" s="25"/>
      <c r="O71" s="26"/>
      <c r="P71" s="54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60"/>
      <c r="E72" s="27" t="s">
        <v>42</v>
      </c>
      <c r="F72" s="28">
        <f t="shared" ref="F72:H72" si="47">SUM(F70:F71)</f>
        <v>13500000</v>
      </c>
      <c r="G72" s="28">
        <f t="shared" si="47"/>
        <v>10000000</v>
      </c>
      <c r="H72" s="28">
        <f t="shared" si="47"/>
        <v>3500000</v>
      </c>
      <c r="I72" s="30">
        <f t="shared" si="46"/>
        <v>0.2592592593</v>
      </c>
      <c r="J72" s="31">
        <f>SUM(F72:F74)</f>
        <v>13500000</v>
      </c>
      <c r="K72" s="25"/>
      <c r="L72" s="25"/>
      <c r="M72" s="26"/>
      <c r="N72" s="32">
        <f>SUM(H72:H74)</f>
        <v>3500000</v>
      </c>
      <c r="O72" s="30">
        <f>(I72:I74)</f>
        <v>0.2592592593</v>
      </c>
      <c r="P72" s="45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60"/>
      <c r="E73" s="23" t="s">
        <v>43</v>
      </c>
      <c r="F73" s="13">
        <f t="shared" ref="F73:F74" si="48">SUMIFS($F$67:$F$69,$B$67:$B$69,E73)</f>
        <v>0</v>
      </c>
      <c r="G73" s="13">
        <f t="shared" ref="G73:G74" si="49">SUMIFS($G$67:$G$69,$B$67:$B$69,E73)</f>
        <v>0</v>
      </c>
      <c r="H73" s="13">
        <f t="shared" ref="H73:H74" si="50">SUMIFS($H$67:$H$69,$B$67:$B$69,E73)</f>
        <v>0</v>
      </c>
      <c r="I73" s="14">
        <f t="shared" si="46"/>
        <v>0</v>
      </c>
      <c r="J73" s="33" t="s">
        <v>44</v>
      </c>
      <c r="K73" s="25"/>
      <c r="L73" s="25"/>
      <c r="M73" s="25"/>
      <c r="N73" s="25"/>
      <c r="O73" s="26"/>
      <c r="P73" s="45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60"/>
      <c r="E74" s="23" t="s">
        <v>45</v>
      </c>
      <c r="F74" s="13">
        <f t="shared" si="48"/>
        <v>0</v>
      </c>
      <c r="G74" s="13">
        <f t="shared" si="49"/>
        <v>0</v>
      </c>
      <c r="H74" s="13">
        <f t="shared" si="50"/>
        <v>0</v>
      </c>
      <c r="I74" s="14">
        <f t="shared" si="46"/>
        <v>0</v>
      </c>
      <c r="J74" s="34">
        <f>SUM(F72-J72)</f>
        <v>0</v>
      </c>
      <c r="K74" s="25"/>
      <c r="L74" s="25"/>
      <c r="M74" s="26"/>
      <c r="N74" s="28">
        <f t="shared" ref="N74:O74" si="51">SUM(H72-N72)</f>
        <v>0</v>
      </c>
      <c r="O74" s="30">
        <f t="shared" si="51"/>
        <v>0</v>
      </c>
      <c r="P74" s="45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46"/>
      <c r="G75" s="2"/>
      <c r="H75" s="46"/>
      <c r="I75" s="4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61"/>
      <c r="F76" s="2"/>
      <c r="G76" s="61"/>
      <c r="H76" s="2"/>
      <c r="I76" s="3"/>
      <c r="J76" s="1"/>
      <c r="K76" s="1"/>
      <c r="L76" s="1"/>
      <c r="M76" s="1"/>
      <c r="N76" s="1"/>
      <c r="O76" s="1"/>
      <c r="P76" s="35"/>
      <c r="Q76" s="1"/>
      <c r="R76" s="1"/>
      <c r="S76" s="2"/>
      <c r="T76" s="2"/>
      <c r="U76" s="2"/>
      <c r="V76" s="43"/>
      <c r="W76" s="1"/>
      <c r="X76" s="1"/>
      <c r="Y76" s="1"/>
    </row>
    <row r="77">
      <c r="A77" s="16">
        <v>27.0</v>
      </c>
      <c r="B77" s="8" t="s">
        <v>14</v>
      </c>
      <c r="C77" s="8">
        <v>6.0</v>
      </c>
      <c r="D77" s="9" t="s">
        <v>15</v>
      </c>
      <c r="E77" s="62" t="s">
        <v>65</v>
      </c>
      <c r="F77" s="12">
        <v>5.00094E8</v>
      </c>
      <c r="G77" s="12">
        <v>3.8910282E8</v>
      </c>
      <c r="H77" s="12">
        <f t="shared" ref="H77:H88" si="52">F77-G77</f>
        <v>110991180</v>
      </c>
      <c r="I77" s="14">
        <f t="shared" ref="I77:I88" si="53">IFERROR(H77/F77,0)</f>
        <v>0.2219406352</v>
      </c>
      <c r="J77" s="8" t="s">
        <v>17</v>
      </c>
      <c r="K77" s="15"/>
      <c r="L77" s="15"/>
      <c r="M77" s="9" t="s">
        <v>18</v>
      </c>
      <c r="N77" s="16" t="s">
        <v>19</v>
      </c>
      <c r="O77" s="36"/>
      <c r="P77" s="35"/>
      <c r="Q77" s="1"/>
      <c r="R77" s="1"/>
      <c r="S77" s="2"/>
      <c r="T77" s="2"/>
      <c r="U77" s="2"/>
      <c r="V77" s="43"/>
      <c r="W77" s="1"/>
      <c r="X77" s="1"/>
      <c r="Y77" s="1"/>
    </row>
    <row r="78">
      <c r="A78" s="16">
        <f t="shared" ref="A78:A88" si="54">A77+1</f>
        <v>28</v>
      </c>
      <c r="B78" s="8" t="s">
        <v>14</v>
      </c>
      <c r="C78" s="8">
        <v>6.0</v>
      </c>
      <c r="D78" s="9" t="s">
        <v>15</v>
      </c>
      <c r="E78" s="62" t="s">
        <v>66</v>
      </c>
      <c r="F78" s="12">
        <v>8.37756E8</v>
      </c>
      <c r="G78" s="12">
        <v>7.1847268E8</v>
      </c>
      <c r="H78" s="12">
        <f t="shared" si="52"/>
        <v>119283320</v>
      </c>
      <c r="I78" s="14">
        <f t="shared" si="53"/>
        <v>0.1423843219</v>
      </c>
      <c r="J78" s="8" t="s">
        <v>17</v>
      </c>
      <c r="K78" s="15"/>
      <c r="L78" s="15"/>
      <c r="M78" s="9" t="s">
        <v>18</v>
      </c>
      <c r="N78" s="16" t="s">
        <v>19</v>
      </c>
      <c r="O78" s="36"/>
      <c r="P78" s="35"/>
      <c r="Q78" s="1"/>
      <c r="R78" s="1"/>
      <c r="S78" s="2"/>
      <c r="T78" s="2"/>
      <c r="U78" s="2"/>
      <c r="V78" s="43"/>
      <c r="W78" s="1"/>
      <c r="X78" s="1"/>
      <c r="Y78" s="1"/>
    </row>
    <row r="79">
      <c r="A79" s="16">
        <f t="shared" si="54"/>
        <v>29</v>
      </c>
      <c r="B79" s="16" t="s">
        <v>14</v>
      </c>
      <c r="C79" s="8">
        <v>6.0</v>
      </c>
      <c r="D79" s="9" t="s">
        <v>15</v>
      </c>
      <c r="E79" s="63" t="s">
        <v>67</v>
      </c>
      <c r="F79" s="11">
        <v>2.006046E8</v>
      </c>
      <c r="G79" s="12">
        <v>1.63748138E8</v>
      </c>
      <c r="H79" s="12">
        <f t="shared" si="52"/>
        <v>36856462</v>
      </c>
      <c r="I79" s="14">
        <f t="shared" si="53"/>
        <v>0.1837269036</v>
      </c>
      <c r="J79" s="8" t="s">
        <v>17</v>
      </c>
      <c r="K79" s="15"/>
      <c r="L79" s="15"/>
      <c r="M79" s="9" t="s">
        <v>18</v>
      </c>
      <c r="N79" s="16" t="s">
        <v>19</v>
      </c>
      <c r="O79" s="36"/>
      <c r="P79" s="35"/>
      <c r="Q79" s="1"/>
      <c r="R79" s="1"/>
      <c r="S79" s="2"/>
      <c r="T79" s="2"/>
      <c r="U79" s="2"/>
      <c r="V79" s="43"/>
      <c r="W79" s="1"/>
      <c r="X79" s="1"/>
      <c r="Y79" s="1"/>
    </row>
    <row r="80">
      <c r="A80" s="16">
        <f t="shared" si="54"/>
        <v>30</v>
      </c>
      <c r="B80" s="16" t="s">
        <v>14</v>
      </c>
      <c r="C80" s="8">
        <v>6.0</v>
      </c>
      <c r="D80" s="9" t="s">
        <v>15</v>
      </c>
      <c r="E80" s="63" t="s">
        <v>68</v>
      </c>
      <c r="F80" s="11">
        <v>3.71357889E8</v>
      </c>
      <c r="G80" s="12">
        <v>2.81340737E8</v>
      </c>
      <c r="H80" s="12">
        <f t="shared" si="52"/>
        <v>90017152</v>
      </c>
      <c r="I80" s="14">
        <f t="shared" si="53"/>
        <v>0.2423999992</v>
      </c>
      <c r="J80" s="8" t="s">
        <v>17</v>
      </c>
      <c r="K80" s="15"/>
      <c r="L80" s="15"/>
      <c r="M80" s="9" t="s">
        <v>18</v>
      </c>
      <c r="N80" s="16" t="s">
        <v>19</v>
      </c>
      <c r="O80" s="36"/>
      <c r="P80" s="35"/>
      <c r="Q80" s="1"/>
      <c r="R80" s="1"/>
      <c r="S80" s="2"/>
      <c r="T80" s="2"/>
      <c r="U80" s="2"/>
      <c r="V80" s="43"/>
      <c r="W80" s="1"/>
      <c r="X80" s="1"/>
      <c r="Y80" s="1"/>
    </row>
    <row r="81">
      <c r="A81" s="16">
        <f t="shared" si="54"/>
        <v>31</v>
      </c>
      <c r="B81" s="16" t="s">
        <v>14</v>
      </c>
      <c r="C81" s="8">
        <v>6.0</v>
      </c>
      <c r="D81" s="9" t="s">
        <v>15</v>
      </c>
      <c r="E81" s="62" t="s">
        <v>69</v>
      </c>
      <c r="F81" s="12">
        <v>1.083024E8</v>
      </c>
      <c r="G81" s="12">
        <v>8.5239072E7</v>
      </c>
      <c r="H81" s="12">
        <f t="shared" si="52"/>
        <v>23063328</v>
      </c>
      <c r="I81" s="14">
        <f t="shared" si="53"/>
        <v>0.2129530648</v>
      </c>
      <c r="J81" s="8" t="s">
        <v>17</v>
      </c>
      <c r="K81" s="15"/>
      <c r="L81" s="15"/>
      <c r="M81" s="9" t="s">
        <v>18</v>
      </c>
      <c r="N81" s="16" t="s">
        <v>19</v>
      </c>
      <c r="O81" s="36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6">
        <f t="shared" si="54"/>
        <v>32</v>
      </c>
      <c r="B82" s="16" t="s">
        <v>14</v>
      </c>
      <c r="C82" s="8">
        <v>6.0</v>
      </c>
      <c r="D82" s="9" t="s">
        <v>15</v>
      </c>
      <c r="E82" s="62" t="s">
        <v>70</v>
      </c>
      <c r="F82" s="12">
        <v>1.86084E8</v>
      </c>
      <c r="G82" s="12">
        <v>1.3738252E8</v>
      </c>
      <c r="H82" s="12">
        <f t="shared" si="52"/>
        <v>48701480</v>
      </c>
      <c r="I82" s="14">
        <f t="shared" si="53"/>
        <v>0.2617177189</v>
      </c>
      <c r="J82" s="8" t="s">
        <v>17</v>
      </c>
      <c r="K82" s="15"/>
      <c r="L82" s="15"/>
      <c r="M82" s="9" t="s">
        <v>23</v>
      </c>
      <c r="N82" s="16" t="s">
        <v>19</v>
      </c>
      <c r="O82" s="36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6">
        <f t="shared" si="54"/>
        <v>33</v>
      </c>
      <c r="B83" s="16" t="s">
        <v>14</v>
      </c>
      <c r="C83" s="8">
        <v>6.0</v>
      </c>
      <c r="D83" s="9" t="s">
        <v>15</v>
      </c>
      <c r="E83" s="62" t="s">
        <v>71</v>
      </c>
      <c r="F83" s="12">
        <v>3.494826E8</v>
      </c>
      <c r="G83" s="12">
        <v>2.59444478E8</v>
      </c>
      <c r="H83" s="12">
        <f t="shared" si="52"/>
        <v>90038122</v>
      </c>
      <c r="I83" s="14">
        <f t="shared" si="53"/>
        <v>0.2576326318</v>
      </c>
      <c r="J83" s="8" t="s">
        <v>17</v>
      </c>
      <c r="K83" s="15"/>
      <c r="L83" s="15"/>
      <c r="M83" s="9" t="s">
        <v>18</v>
      </c>
      <c r="N83" s="16" t="s">
        <v>19</v>
      </c>
      <c r="O83" s="36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6">
        <f t="shared" si="54"/>
        <v>34</v>
      </c>
      <c r="B84" s="8" t="s">
        <v>14</v>
      </c>
      <c r="C84" s="8">
        <v>6.0</v>
      </c>
      <c r="D84" s="9" t="s">
        <v>62</v>
      </c>
      <c r="E84" s="62" t="s">
        <v>72</v>
      </c>
      <c r="F84" s="12">
        <v>4.689905E8</v>
      </c>
      <c r="G84" s="12">
        <v>3.4922E8</v>
      </c>
      <c r="H84" s="12">
        <f t="shared" si="52"/>
        <v>119770500</v>
      </c>
      <c r="I84" s="14">
        <f t="shared" si="53"/>
        <v>0.2553793734</v>
      </c>
      <c r="J84" s="8" t="s">
        <v>17</v>
      </c>
      <c r="K84" s="15"/>
      <c r="L84" s="15"/>
      <c r="M84" s="9" t="s">
        <v>18</v>
      </c>
      <c r="N84" s="16" t="s">
        <v>19</v>
      </c>
      <c r="O84" s="36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6">
        <f t="shared" si="54"/>
        <v>35</v>
      </c>
      <c r="B85" s="8" t="s">
        <v>14</v>
      </c>
      <c r="C85" s="8">
        <v>6.0</v>
      </c>
      <c r="D85" s="9" t="s">
        <v>62</v>
      </c>
      <c r="E85" s="62" t="s">
        <v>73</v>
      </c>
      <c r="F85" s="12">
        <v>1.65E8</v>
      </c>
      <c r="G85" s="12">
        <v>1.2985E8</v>
      </c>
      <c r="H85" s="12">
        <f t="shared" si="52"/>
        <v>35150000</v>
      </c>
      <c r="I85" s="14">
        <f t="shared" si="53"/>
        <v>0.213030303</v>
      </c>
      <c r="J85" s="8" t="s">
        <v>17</v>
      </c>
      <c r="K85" s="15"/>
      <c r="L85" s="15"/>
      <c r="M85" s="9" t="s">
        <v>26</v>
      </c>
      <c r="N85" s="16" t="s">
        <v>19</v>
      </c>
      <c r="O85" s="36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6">
        <f t="shared" si="54"/>
        <v>36</v>
      </c>
      <c r="B86" s="16" t="s">
        <v>14</v>
      </c>
      <c r="C86" s="8">
        <v>6.0</v>
      </c>
      <c r="D86" s="9" t="s">
        <v>62</v>
      </c>
      <c r="E86" s="62" t="s">
        <v>74</v>
      </c>
      <c r="F86" s="12">
        <v>1.09167526E8</v>
      </c>
      <c r="G86" s="12">
        <v>8.1353205E7</v>
      </c>
      <c r="H86" s="12">
        <f t="shared" si="52"/>
        <v>27814321</v>
      </c>
      <c r="I86" s="14">
        <f t="shared" si="53"/>
        <v>0.2547856677</v>
      </c>
      <c r="J86" s="8" t="s">
        <v>17</v>
      </c>
      <c r="K86" s="15"/>
      <c r="L86" s="15"/>
      <c r="M86" s="9" t="s">
        <v>18</v>
      </c>
      <c r="N86" s="16" t="s">
        <v>19</v>
      </c>
      <c r="O86" s="36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6">
        <f t="shared" si="54"/>
        <v>37</v>
      </c>
      <c r="B87" s="8" t="s">
        <v>14</v>
      </c>
      <c r="C87" s="8">
        <v>6.0</v>
      </c>
      <c r="D87" s="9" t="s">
        <v>62</v>
      </c>
      <c r="E87" s="62" t="s">
        <v>75</v>
      </c>
      <c r="F87" s="12">
        <v>1.2716E7</v>
      </c>
      <c r="G87" s="12">
        <v>9830000.0</v>
      </c>
      <c r="H87" s="12">
        <f t="shared" si="52"/>
        <v>2886000</v>
      </c>
      <c r="I87" s="14">
        <f t="shared" si="53"/>
        <v>0.2269581629</v>
      </c>
      <c r="J87" s="8" t="s">
        <v>17</v>
      </c>
      <c r="K87" s="15"/>
      <c r="L87" s="15"/>
      <c r="M87" s="9" t="s">
        <v>18</v>
      </c>
      <c r="N87" s="16" t="s">
        <v>19</v>
      </c>
      <c r="O87" s="36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6">
        <f t="shared" si="54"/>
        <v>38</v>
      </c>
      <c r="B88" s="8" t="s">
        <v>14</v>
      </c>
      <c r="C88" s="8">
        <v>6.0</v>
      </c>
      <c r="D88" s="9" t="s">
        <v>76</v>
      </c>
      <c r="E88" s="64" t="s">
        <v>77</v>
      </c>
      <c r="F88" s="39">
        <v>1.831115E8</v>
      </c>
      <c r="G88" s="39">
        <v>1.1875E8</v>
      </c>
      <c r="H88" s="12">
        <f t="shared" si="52"/>
        <v>64361500</v>
      </c>
      <c r="I88" s="14">
        <f t="shared" si="53"/>
        <v>0.3514880278</v>
      </c>
      <c r="J88" s="8" t="s">
        <v>17</v>
      </c>
      <c r="K88" s="15"/>
      <c r="L88" s="15"/>
      <c r="M88" s="9" t="s">
        <v>23</v>
      </c>
      <c r="N88" s="16" t="s">
        <v>78</v>
      </c>
      <c r="O88" s="36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8"/>
      <c r="B89" s="18"/>
      <c r="C89" s="18"/>
      <c r="D89" s="1"/>
      <c r="E89" s="1"/>
      <c r="F89" s="2"/>
      <c r="G89" s="2"/>
      <c r="H89" s="19"/>
      <c r="I89" s="20"/>
      <c r="J89" s="1"/>
      <c r="K89" s="1"/>
      <c r="L89" s="1"/>
      <c r="M89" s="1"/>
      <c r="N89" s="1"/>
      <c r="O89" s="35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2"/>
      <c r="G90" s="2"/>
      <c r="H90" s="2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22" t="s">
        <v>79</v>
      </c>
      <c r="E91" s="23" t="s">
        <v>14</v>
      </c>
      <c r="F91" s="13">
        <f t="shared" ref="F91:F92" si="55">SUMIFS($F$77:$F$90,$B$77:$B$90,E91)</f>
        <v>3492667015</v>
      </c>
      <c r="G91" s="13">
        <f t="shared" ref="G91:G92" si="56">SUMIFS($G$77:$G$90,$B$77:$B$90,E91)</f>
        <v>2723733650</v>
      </c>
      <c r="H91" s="13">
        <f t="shared" ref="H91:H92" si="57">SUMIFS($H$77:$H$90,$B$77:$B$90,E91)</f>
        <v>768933365</v>
      </c>
      <c r="I91" s="14">
        <f t="shared" ref="I91:I95" si="58">IFERROR(H91/F91,0)</f>
        <v>0.2201565055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23" t="s">
        <v>40</v>
      </c>
      <c r="F92" s="13">
        <f t="shared" si="55"/>
        <v>0</v>
      </c>
      <c r="G92" s="13">
        <f t="shared" si="56"/>
        <v>0</v>
      </c>
      <c r="H92" s="13">
        <f t="shared" si="57"/>
        <v>0</v>
      </c>
      <c r="I92" s="14">
        <f t="shared" si="58"/>
        <v>0</v>
      </c>
      <c r="J92" s="24" t="s">
        <v>41</v>
      </c>
      <c r="K92" s="25"/>
      <c r="L92" s="25"/>
      <c r="M92" s="25"/>
      <c r="N92" s="25"/>
      <c r="O92" s="26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27" t="s">
        <v>42</v>
      </c>
      <c r="F93" s="28">
        <f t="shared" ref="F93:H93" si="59">SUM(F91:F92)</f>
        <v>3492667015</v>
      </c>
      <c r="G93" s="28">
        <f t="shared" si="59"/>
        <v>2723733650</v>
      </c>
      <c r="H93" s="28">
        <f t="shared" si="59"/>
        <v>768933365</v>
      </c>
      <c r="I93" s="30">
        <f t="shared" si="58"/>
        <v>0.2201565055</v>
      </c>
      <c r="J93" s="31">
        <f>SUM(F93:F95)</f>
        <v>3492667015</v>
      </c>
      <c r="K93" s="25"/>
      <c r="L93" s="25"/>
      <c r="M93" s="26"/>
      <c r="N93" s="32">
        <f>SUM(H93:H95)</f>
        <v>768933365</v>
      </c>
      <c r="O93" s="30">
        <f>(I93:I95)</f>
        <v>0.2201565055</v>
      </c>
      <c r="P93" s="1"/>
      <c r="Q93" s="22">
        <v>1.58774E7</v>
      </c>
      <c r="R93" s="22">
        <v>3449138.0</v>
      </c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23" t="s">
        <v>43</v>
      </c>
      <c r="F94" s="13">
        <f t="shared" ref="F94:F95" si="60">SUMIFS($F$77:$F$89,$B$77:$B$89,E94)</f>
        <v>0</v>
      </c>
      <c r="G94" s="13">
        <f t="shared" ref="G94:G95" si="61">SUMIFS($G$77:$G$90,$B$77:$B$90,E94)</f>
        <v>0</v>
      </c>
      <c r="H94" s="13">
        <f t="shared" ref="H94:H95" si="62">SUMIFS($H$77:$H$89,$B$77:$B$89,E94)</f>
        <v>0</v>
      </c>
      <c r="I94" s="14">
        <f t="shared" si="58"/>
        <v>0</v>
      </c>
      <c r="J94" s="33" t="s">
        <v>44</v>
      </c>
      <c r="K94" s="25"/>
      <c r="L94" s="25"/>
      <c r="M94" s="25"/>
      <c r="N94" s="25"/>
      <c r="O94" s="26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23" t="s">
        <v>45</v>
      </c>
      <c r="F95" s="13">
        <f t="shared" si="60"/>
        <v>0</v>
      </c>
      <c r="G95" s="13">
        <f t="shared" si="61"/>
        <v>0</v>
      </c>
      <c r="H95" s="13">
        <f t="shared" si="62"/>
        <v>0</v>
      </c>
      <c r="I95" s="14">
        <f t="shared" si="58"/>
        <v>0</v>
      </c>
      <c r="J95" s="34">
        <f>SUM(F93-J93)</f>
        <v>0</v>
      </c>
      <c r="K95" s="25"/>
      <c r="L95" s="25"/>
      <c r="M95" s="26"/>
      <c r="N95" s="28">
        <f t="shared" ref="N95:O95" si="63">SUM(H93-N93)</f>
        <v>0</v>
      </c>
      <c r="O95" s="30">
        <f t="shared" si="63"/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65"/>
      <c r="G96" s="13"/>
      <c r="H96" s="65"/>
      <c r="I96" s="66"/>
      <c r="J96" s="67"/>
      <c r="K96" s="68"/>
      <c r="L96" s="68"/>
      <c r="M96" s="68"/>
      <c r="N96" s="6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22" t="s">
        <v>80</v>
      </c>
      <c r="E97" s="23" t="s">
        <v>14</v>
      </c>
      <c r="F97" s="13">
        <f t="shared" ref="F97:H97" si="64">SUM(F91+F70+F60)</f>
        <v>4571144215</v>
      </c>
      <c r="G97" s="13">
        <f t="shared" si="64"/>
        <v>3602329046</v>
      </c>
      <c r="H97" s="13">
        <f t="shared" si="64"/>
        <v>968815169</v>
      </c>
      <c r="I97" s="14">
        <f t="shared" ref="I97:I101" si="66">IFERROR(H97/F97,0)</f>
        <v>0.2119415016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23" t="s">
        <v>40</v>
      </c>
      <c r="F98" s="13">
        <f t="shared" ref="F98:H98" si="65">SUM(F92+F71+F61)</f>
        <v>0</v>
      </c>
      <c r="G98" s="13">
        <f t="shared" si="65"/>
        <v>0</v>
      </c>
      <c r="H98" s="13">
        <f t="shared" si="65"/>
        <v>0</v>
      </c>
      <c r="I98" s="14">
        <f t="shared" si="66"/>
        <v>0</v>
      </c>
      <c r="J98" s="24" t="s">
        <v>41</v>
      </c>
      <c r="K98" s="25"/>
      <c r="L98" s="25"/>
      <c r="M98" s="25"/>
      <c r="N98" s="25"/>
      <c r="O98" s="26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27" t="s">
        <v>42</v>
      </c>
      <c r="F99" s="28">
        <f t="shared" ref="F99:H99" si="67">SUM(F97:F98)</f>
        <v>4571144215</v>
      </c>
      <c r="G99" s="28">
        <f t="shared" si="67"/>
        <v>3602329046</v>
      </c>
      <c r="H99" s="28">
        <f t="shared" si="67"/>
        <v>968815169</v>
      </c>
      <c r="I99" s="30">
        <f t="shared" si="66"/>
        <v>0.2119415016</v>
      </c>
      <c r="J99" s="31">
        <f>SUM(F99:F101)</f>
        <v>4571144215</v>
      </c>
      <c r="K99" s="25"/>
      <c r="L99" s="25"/>
      <c r="M99" s="26"/>
      <c r="N99" s="32">
        <f>SUM(H99:H101)</f>
        <v>968815169</v>
      </c>
      <c r="O99" s="30">
        <f>(I99:I101)</f>
        <v>0.2119415016</v>
      </c>
      <c r="P99" s="1"/>
      <c r="Q99" s="22">
        <v>1.02393101E8</v>
      </c>
      <c r="R99" s="22">
        <v>1.8788575E7</v>
      </c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23" t="s">
        <v>43</v>
      </c>
      <c r="F100" s="13">
        <f t="shared" ref="F100:H100" si="68">SUM(F94+F73+F63)</f>
        <v>0</v>
      </c>
      <c r="G100" s="13">
        <f t="shared" si="68"/>
        <v>0</v>
      </c>
      <c r="H100" s="13">
        <f t="shared" si="68"/>
        <v>0</v>
      </c>
      <c r="I100" s="14">
        <f t="shared" si="66"/>
        <v>0</v>
      </c>
      <c r="J100" s="33" t="s">
        <v>44</v>
      </c>
      <c r="K100" s="25"/>
      <c r="L100" s="25"/>
      <c r="M100" s="25"/>
      <c r="N100" s="25"/>
      <c r="O100" s="26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23" t="s">
        <v>45</v>
      </c>
      <c r="F101" s="13">
        <f t="shared" ref="F101:H101" si="69">SUM(F95+F74+F64)</f>
        <v>0</v>
      </c>
      <c r="G101" s="13">
        <f t="shared" si="69"/>
        <v>0</v>
      </c>
      <c r="H101" s="13">
        <f t="shared" si="69"/>
        <v>0</v>
      </c>
      <c r="I101" s="14">
        <f t="shared" si="66"/>
        <v>0</v>
      </c>
      <c r="J101" s="69">
        <f>SUM(F99-J99)</f>
        <v>0</v>
      </c>
      <c r="K101" s="25"/>
      <c r="L101" s="25"/>
      <c r="M101" s="26"/>
      <c r="N101" s="70">
        <f t="shared" ref="N101:O101" si="70">SUM(H99-N99)</f>
        <v>0</v>
      </c>
      <c r="O101" s="30">
        <f t="shared" si="70"/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2"/>
      <c r="G102" s="2"/>
      <c r="H102" s="2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22" t="s">
        <v>81</v>
      </c>
      <c r="E103" s="23" t="s">
        <v>14</v>
      </c>
      <c r="F103" s="13">
        <f t="shared" ref="F103:H103" si="71">SUM(F97+F49)</f>
        <v>9047673095</v>
      </c>
      <c r="G103" s="13">
        <f t="shared" si="71"/>
        <v>6884106216</v>
      </c>
      <c r="H103" s="13">
        <f t="shared" si="71"/>
        <v>2163566879</v>
      </c>
      <c r="I103" s="14">
        <f t="shared" ref="I103:I118" si="73">IFERROR(H103/F103,0)</f>
        <v>0.2391296476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23" t="s">
        <v>40</v>
      </c>
      <c r="F104" s="13">
        <f t="shared" ref="F104:H104" si="72">SUM(F98+F50)</f>
        <v>0</v>
      </c>
      <c r="G104" s="13">
        <f t="shared" si="72"/>
        <v>0</v>
      </c>
      <c r="H104" s="13">
        <f t="shared" si="72"/>
        <v>0</v>
      </c>
      <c r="I104" s="14">
        <f t="shared" si="73"/>
        <v>0</v>
      </c>
      <c r="J104" s="24" t="s">
        <v>41</v>
      </c>
      <c r="K104" s="25"/>
      <c r="L104" s="25"/>
      <c r="M104" s="25"/>
      <c r="N104" s="25"/>
      <c r="O104" s="26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27" t="s">
        <v>42</v>
      </c>
      <c r="F105" s="28">
        <f t="shared" ref="F105:H105" si="74">SUM(F103:F104)</f>
        <v>9047673095</v>
      </c>
      <c r="G105" s="28">
        <f t="shared" si="74"/>
        <v>6884106216</v>
      </c>
      <c r="H105" s="28">
        <f t="shared" si="74"/>
        <v>2163566879</v>
      </c>
      <c r="I105" s="30">
        <f t="shared" si="73"/>
        <v>0.2391296476</v>
      </c>
      <c r="J105" s="31">
        <f>SUM(F105:F107)</f>
        <v>9047673095</v>
      </c>
      <c r="K105" s="25"/>
      <c r="L105" s="25"/>
      <c r="M105" s="26"/>
      <c r="N105" s="32">
        <f>SUM(H105:H107)</f>
        <v>2163566879</v>
      </c>
      <c r="O105" s="30">
        <f>(I105:I107)</f>
        <v>0.2391296476</v>
      </c>
      <c r="P105" s="1"/>
      <c r="Q105" s="22">
        <v>1.71368604E8</v>
      </c>
      <c r="R105" s="22">
        <v>3.2437534E7</v>
      </c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23" t="s">
        <v>43</v>
      </c>
      <c r="F106" s="13">
        <f t="shared" ref="F106:H106" si="75">SUM(F100+F52)</f>
        <v>0</v>
      </c>
      <c r="G106" s="13">
        <f t="shared" si="75"/>
        <v>0</v>
      </c>
      <c r="H106" s="13">
        <f t="shared" si="75"/>
        <v>0</v>
      </c>
      <c r="I106" s="14">
        <f t="shared" si="73"/>
        <v>0</v>
      </c>
      <c r="J106" s="33" t="s">
        <v>44</v>
      </c>
      <c r="K106" s="25"/>
      <c r="L106" s="25"/>
      <c r="M106" s="25"/>
      <c r="N106" s="25"/>
      <c r="O106" s="26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23" t="s">
        <v>45</v>
      </c>
      <c r="F107" s="13">
        <f t="shared" ref="F107:H107" si="76">SUM(F101+F53)</f>
        <v>0</v>
      </c>
      <c r="G107" s="13">
        <f t="shared" si="76"/>
        <v>0</v>
      </c>
      <c r="H107" s="13">
        <f t="shared" si="76"/>
        <v>0</v>
      </c>
      <c r="I107" s="14">
        <f t="shared" si="73"/>
        <v>0</v>
      </c>
      <c r="J107" s="69">
        <f>SUM(F105-J105)</f>
        <v>0</v>
      </c>
      <c r="K107" s="25"/>
      <c r="L107" s="25"/>
      <c r="M107" s="26"/>
      <c r="N107" s="70">
        <f t="shared" ref="N107:O107" si="77">SUM(H105-N105)</f>
        <v>0</v>
      </c>
      <c r="O107" s="30">
        <f t="shared" si="77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2"/>
      <c r="G108" s="2"/>
      <c r="H108" s="2"/>
      <c r="I108" s="14">
        <f t="shared" si="73"/>
        <v>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8">
        <f>A88+1</f>
        <v>39</v>
      </c>
      <c r="B109" s="8" t="s">
        <v>14</v>
      </c>
      <c r="C109" s="8">
        <v>7.0</v>
      </c>
      <c r="D109" s="9" t="s">
        <v>15</v>
      </c>
      <c r="E109" s="10" t="s">
        <v>82</v>
      </c>
      <c r="F109" s="11">
        <v>3.00564E8</v>
      </c>
      <c r="G109" s="12">
        <v>2.1466692E8</v>
      </c>
      <c r="H109" s="13">
        <f t="shared" ref="H109:H118" si="78">F109-G109</f>
        <v>85897080</v>
      </c>
      <c r="I109" s="14">
        <f t="shared" si="73"/>
        <v>0.2857863217</v>
      </c>
      <c r="J109" s="16" t="s">
        <v>17</v>
      </c>
      <c r="K109" s="15"/>
      <c r="L109" s="15"/>
      <c r="M109" s="9" t="s">
        <v>18</v>
      </c>
      <c r="N109" s="16" t="s">
        <v>19</v>
      </c>
      <c r="O109" s="15"/>
      <c r="P109" s="35"/>
      <c r="Q109" s="1"/>
      <c r="R109" s="1"/>
      <c r="S109" s="2"/>
      <c r="T109" s="2"/>
      <c r="U109" s="2"/>
      <c r="V109" s="43"/>
      <c r="W109" s="1"/>
      <c r="X109" s="1"/>
      <c r="Y109" s="1"/>
    </row>
    <row r="110">
      <c r="A110" s="8">
        <f t="shared" ref="A110:A118" si="79">A109+1</f>
        <v>40</v>
      </c>
      <c r="B110" s="8" t="s">
        <v>14</v>
      </c>
      <c r="C110" s="8">
        <v>7.0</v>
      </c>
      <c r="D110" s="9" t="s">
        <v>15</v>
      </c>
      <c r="E110" s="36" t="s">
        <v>83</v>
      </c>
      <c r="F110" s="12">
        <v>2.2842E7</v>
      </c>
      <c r="G110" s="12">
        <v>1.950726E7</v>
      </c>
      <c r="H110" s="13">
        <f t="shared" si="78"/>
        <v>3334740</v>
      </c>
      <c r="I110" s="14">
        <f t="shared" si="73"/>
        <v>0.1459915944</v>
      </c>
      <c r="J110" s="8" t="s">
        <v>17</v>
      </c>
      <c r="K110" s="15"/>
      <c r="L110" s="15"/>
      <c r="M110" s="9" t="s">
        <v>18</v>
      </c>
      <c r="N110" s="16" t="s">
        <v>19</v>
      </c>
      <c r="O110" s="15"/>
      <c r="P110" s="35"/>
      <c r="Q110" s="1"/>
      <c r="R110" s="1"/>
      <c r="S110" s="21"/>
      <c r="T110" s="2"/>
      <c r="U110" s="21"/>
      <c r="V110" s="43"/>
      <c r="W110" s="1"/>
      <c r="X110" s="1"/>
      <c r="Y110" s="1"/>
    </row>
    <row r="111">
      <c r="A111" s="8">
        <f t="shared" si="79"/>
        <v>41</v>
      </c>
      <c r="B111" s="8" t="s">
        <v>14</v>
      </c>
      <c r="C111" s="8">
        <v>7.0</v>
      </c>
      <c r="D111" s="9" t="s">
        <v>15</v>
      </c>
      <c r="E111" s="36" t="s">
        <v>84</v>
      </c>
      <c r="F111" s="12">
        <v>2.8944E7</v>
      </c>
      <c r="G111" s="12">
        <v>2.489332E7</v>
      </c>
      <c r="H111" s="13">
        <f t="shared" si="78"/>
        <v>4050680</v>
      </c>
      <c r="I111" s="14">
        <f t="shared" si="73"/>
        <v>0.1399488668</v>
      </c>
      <c r="J111" s="8" t="s">
        <v>17</v>
      </c>
      <c r="K111" s="15"/>
      <c r="L111" s="15"/>
      <c r="M111" s="9" t="s">
        <v>23</v>
      </c>
      <c r="N111" s="16" t="s">
        <v>19</v>
      </c>
      <c r="O111" s="15"/>
      <c r="P111" s="35"/>
      <c r="Q111" s="1"/>
      <c r="R111" s="1"/>
      <c r="S111" s="2"/>
      <c r="T111" s="2"/>
      <c r="U111" s="2"/>
      <c r="V111" s="43"/>
      <c r="W111" s="1"/>
      <c r="X111" s="1"/>
      <c r="Y111" s="1"/>
    </row>
    <row r="112">
      <c r="A112" s="8">
        <f t="shared" si="79"/>
        <v>42</v>
      </c>
      <c r="B112" s="8" t="s">
        <v>14</v>
      </c>
      <c r="C112" s="8">
        <v>7.0</v>
      </c>
      <c r="D112" s="9" t="s">
        <v>15</v>
      </c>
      <c r="E112" s="36" t="s">
        <v>85</v>
      </c>
      <c r="F112" s="12">
        <v>1.056888E8</v>
      </c>
      <c r="G112" s="12">
        <v>7.5670664E7</v>
      </c>
      <c r="H112" s="13">
        <f t="shared" si="78"/>
        <v>30018136</v>
      </c>
      <c r="I112" s="14">
        <f t="shared" si="73"/>
        <v>0.2840238133</v>
      </c>
      <c r="J112" s="8" t="s">
        <v>17</v>
      </c>
      <c r="K112" s="15"/>
      <c r="L112" s="15"/>
      <c r="M112" s="9" t="s">
        <v>23</v>
      </c>
      <c r="N112" s="16" t="s">
        <v>19</v>
      </c>
      <c r="O112" s="15"/>
      <c r="P112" s="35"/>
      <c r="Q112" s="1"/>
      <c r="R112" s="1"/>
      <c r="S112" s="2"/>
      <c r="T112" s="2"/>
      <c r="U112" s="2"/>
      <c r="V112" s="43"/>
      <c r="W112" s="1"/>
      <c r="X112" s="1"/>
      <c r="Y112" s="1"/>
    </row>
    <row r="113">
      <c r="A113" s="8">
        <f t="shared" si="79"/>
        <v>43</v>
      </c>
      <c r="B113" s="8" t="s">
        <v>14</v>
      </c>
      <c r="C113" s="8">
        <v>7.0</v>
      </c>
      <c r="D113" s="9" t="s">
        <v>15</v>
      </c>
      <c r="E113" s="36" t="s">
        <v>86</v>
      </c>
      <c r="F113" s="12">
        <v>2.3544E7</v>
      </c>
      <c r="G113" s="12">
        <v>1.478132E7</v>
      </c>
      <c r="H113" s="13">
        <f t="shared" si="78"/>
        <v>8762680</v>
      </c>
      <c r="I113" s="14">
        <f t="shared" si="73"/>
        <v>0.3721831464</v>
      </c>
      <c r="J113" s="8" t="s">
        <v>17</v>
      </c>
      <c r="K113" s="15"/>
      <c r="L113" s="15"/>
      <c r="M113" s="9" t="s">
        <v>23</v>
      </c>
      <c r="N113" s="16" t="s">
        <v>19</v>
      </c>
      <c r="O113" s="15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8">
        <f t="shared" si="79"/>
        <v>44</v>
      </c>
      <c r="B114" s="16" t="s">
        <v>14</v>
      </c>
      <c r="C114" s="8">
        <v>7.0</v>
      </c>
      <c r="D114" s="9" t="s">
        <v>15</v>
      </c>
      <c r="E114" s="17" t="s">
        <v>87</v>
      </c>
      <c r="F114" s="11">
        <v>1.9990152E8</v>
      </c>
      <c r="G114" s="11">
        <v>1.6E8</v>
      </c>
      <c r="H114" s="13">
        <f t="shared" si="78"/>
        <v>39901520</v>
      </c>
      <c r="I114" s="14">
        <f t="shared" si="73"/>
        <v>0.1996058859</v>
      </c>
      <c r="J114" s="8" t="s">
        <v>17</v>
      </c>
      <c r="K114" s="15"/>
      <c r="L114" s="15"/>
      <c r="M114" s="9" t="s">
        <v>23</v>
      </c>
      <c r="N114" s="16" t="s">
        <v>19</v>
      </c>
      <c r="O114" s="15"/>
      <c r="P114" s="35"/>
      <c r="Q114" s="1"/>
      <c r="R114" s="1"/>
      <c r="S114" s="2"/>
      <c r="T114" s="2"/>
      <c r="U114" s="2"/>
      <c r="V114" s="43"/>
      <c r="W114" s="1"/>
      <c r="X114" s="1"/>
      <c r="Y114" s="1"/>
    </row>
    <row r="115">
      <c r="A115" s="8">
        <f t="shared" si="79"/>
        <v>45</v>
      </c>
      <c r="B115" s="16" t="s">
        <v>14</v>
      </c>
      <c r="C115" s="8">
        <v>7.0</v>
      </c>
      <c r="D115" s="9" t="s">
        <v>62</v>
      </c>
      <c r="E115" s="36" t="s">
        <v>88</v>
      </c>
      <c r="F115" s="12">
        <v>1.464804E8</v>
      </c>
      <c r="G115" s="12">
        <v>1.0428E8</v>
      </c>
      <c r="H115" s="13">
        <f t="shared" si="78"/>
        <v>42200400</v>
      </c>
      <c r="I115" s="14">
        <f t="shared" si="73"/>
        <v>0.2880958818</v>
      </c>
      <c r="J115" s="8" t="s">
        <v>17</v>
      </c>
      <c r="K115" s="15"/>
      <c r="L115" s="15"/>
      <c r="M115" s="9" t="s">
        <v>18</v>
      </c>
      <c r="N115" s="16" t="s">
        <v>19</v>
      </c>
      <c r="O115" s="15"/>
      <c r="P115" s="35"/>
      <c r="Q115" s="1"/>
      <c r="R115" s="1"/>
      <c r="S115" s="2"/>
      <c r="T115" s="2"/>
      <c r="U115" s="2"/>
      <c r="V115" s="43"/>
      <c r="W115" s="1"/>
      <c r="X115" s="1"/>
      <c r="Y115" s="1"/>
    </row>
    <row r="116">
      <c r="A116" s="8">
        <f t="shared" si="79"/>
        <v>46</v>
      </c>
      <c r="B116" s="16" t="s">
        <v>14</v>
      </c>
      <c r="C116" s="8">
        <v>7.0</v>
      </c>
      <c r="D116" s="9" t="s">
        <v>62</v>
      </c>
      <c r="E116" s="36" t="s">
        <v>89</v>
      </c>
      <c r="F116" s="12">
        <v>6.7221E7</v>
      </c>
      <c r="G116" s="12">
        <v>4.4175E7</v>
      </c>
      <c r="H116" s="13">
        <f t="shared" si="78"/>
        <v>23046000</v>
      </c>
      <c r="I116" s="14">
        <f t="shared" si="73"/>
        <v>0.3428392913</v>
      </c>
      <c r="J116" s="8" t="s">
        <v>17</v>
      </c>
      <c r="K116" s="15"/>
      <c r="L116" s="15"/>
      <c r="M116" s="9" t="s">
        <v>18</v>
      </c>
      <c r="N116" s="16" t="s">
        <v>19</v>
      </c>
      <c r="O116" s="15"/>
      <c r="P116" s="35"/>
      <c r="Q116" s="1"/>
      <c r="R116" s="1"/>
      <c r="S116" s="2"/>
      <c r="T116" s="2"/>
      <c r="U116" s="2"/>
      <c r="V116" s="43"/>
      <c r="W116" s="1"/>
      <c r="X116" s="1"/>
      <c r="Y116" s="1"/>
    </row>
    <row r="117">
      <c r="A117" s="8">
        <f t="shared" si="79"/>
        <v>47</v>
      </c>
      <c r="B117" s="16" t="s">
        <v>14</v>
      </c>
      <c r="C117" s="8">
        <v>7.0</v>
      </c>
      <c r="D117" s="9" t="s">
        <v>62</v>
      </c>
      <c r="E117" s="36" t="s">
        <v>90</v>
      </c>
      <c r="F117" s="12">
        <v>4.98377E8</v>
      </c>
      <c r="G117" s="12">
        <v>3.87075E8</v>
      </c>
      <c r="H117" s="13">
        <f t="shared" si="78"/>
        <v>111302000</v>
      </c>
      <c r="I117" s="14">
        <f t="shared" si="73"/>
        <v>0.2233289257</v>
      </c>
      <c r="J117" s="8" t="s">
        <v>17</v>
      </c>
      <c r="K117" s="15"/>
      <c r="L117" s="15"/>
      <c r="M117" s="9" t="s">
        <v>18</v>
      </c>
      <c r="N117" s="16" t="s">
        <v>19</v>
      </c>
      <c r="O117" s="15"/>
      <c r="P117" s="35"/>
      <c r="Q117" s="1"/>
      <c r="R117" s="1"/>
      <c r="S117" s="2"/>
      <c r="T117" s="2"/>
      <c r="U117" s="2"/>
      <c r="V117" s="43"/>
      <c r="W117" s="1"/>
      <c r="X117" s="1"/>
      <c r="Y117" s="1"/>
    </row>
    <row r="118">
      <c r="A118" s="8">
        <f t="shared" si="79"/>
        <v>48</v>
      </c>
      <c r="B118" s="8" t="s">
        <v>14</v>
      </c>
      <c r="C118" s="8">
        <v>7.0</v>
      </c>
      <c r="D118" s="9" t="s">
        <v>15</v>
      </c>
      <c r="E118" s="17" t="s">
        <v>91</v>
      </c>
      <c r="F118" s="11">
        <v>2.2572E8</v>
      </c>
      <c r="G118" s="11">
        <v>1.893716E8</v>
      </c>
      <c r="H118" s="13">
        <f t="shared" si="78"/>
        <v>36348400</v>
      </c>
      <c r="I118" s="14">
        <f t="shared" si="73"/>
        <v>0.1610331384</v>
      </c>
      <c r="J118" s="8" t="s">
        <v>17</v>
      </c>
      <c r="K118" s="15"/>
      <c r="L118" s="15"/>
      <c r="M118" s="9" t="s">
        <v>26</v>
      </c>
      <c r="N118" s="16" t="s">
        <v>19</v>
      </c>
      <c r="O118" s="15"/>
      <c r="P118" s="35"/>
      <c r="Q118" s="1"/>
      <c r="R118" s="1"/>
      <c r="S118" s="2"/>
      <c r="T118" s="2"/>
      <c r="U118" s="2"/>
      <c r="V118" s="43"/>
      <c r="W118" s="1"/>
      <c r="X118" s="1"/>
      <c r="Y118" s="1"/>
    </row>
    <row r="119">
      <c r="A119" s="18"/>
      <c r="B119" s="18"/>
      <c r="C119" s="18"/>
      <c r="D119" s="1"/>
      <c r="E119" s="1"/>
      <c r="F119" s="19"/>
      <c r="G119" s="2"/>
      <c r="H119" s="19"/>
      <c r="I119" s="20"/>
      <c r="J119" s="18"/>
      <c r="K119" s="1"/>
      <c r="L119" s="1"/>
      <c r="M119" s="1"/>
      <c r="N119" s="1"/>
      <c r="O119" s="1"/>
      <c r="P119" s="35"/>
      <c r="Q119" s="1"/>
      <c r="R119" s="1"/>
      <c r="S119" s="2"/>
      <c r="T119" s="2"/>
      <c r="U119" s="2"/>
      <c r="V119" s="43"/>
      <c r="W119" s="1"/>
      <c r="X119" s="1"/>
      <c r="Y119" s="1"/>
    </row>
    <row r="120">
      <c r="A120" s="1"/>
      <c r="B120" s="1"/>
      <c r="C120" s="1"/>
      <c r="D120" s="1"/>
      <c r="E120" s="1"/>
      <c r="F120" s="2"/>
      <c r="G120" s="2"/>
      <c r="H120" s="2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22" t="s">
        <v>92</v>
      </c>
      <c r="E121" s="71" t="s">
        <v>14</v>
      </c>
      <c r="F121" s="13">
        <f t="shared" ref="F121:F122" si="80">SUMIFS($F$109:$F$120,$B$109:$B$120,E121)</f>
        <v>1619282720</v>
      </c>
      <c r="G121" s="13">
        <f t="shared" ref="G121:G122" si="81">SUMIFS($G$109:$G$120,$B$109:$B$120,E121)</f>
        <v>1234421084</v>
      </c>
      <c r="H121" s="13">
        <f>SUMIFS($H$109:$H$120,$B$109:$B$120,E121)</f>
        <v>384861636</v>
      </c>
      <c r="I121" s="14">
        <f t="shared" ref="I121:I125" si="82">IFERROR(H121/F121,0)</f>
        <v>0.237674145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72" t="s">
        <v>93</v>
      </c>
      <c r="E122" s="23" t="s">
        <v>40</v>
      </c>
      <c r="F122" s="13">
        <f t="shared" si="80"/>
        <v>0</v>
      </c>
      <c r="G122" s="13">
        <f t="shared" si="81"/>
        <v>0</v>
      </c>
      <c r="H122" s="13">
        <f>SUMIFS($H$109:$H$119,$B$109:$B$119,E122)</f>
        <v>0</v>
      </c>
      <c r="I122" s="14">
        <f t="shared" si="82"/>
        <v>0</v>
      </c>
      <c r="J122" s="24" t="s">
        <v>41</v>
      </c>
      <c r="K122" s="25"/>
      <c r="L122" s="25"/>
      <c r="M122" s="25"/>
      <c r="N122" s="25"/>
      <c r="O122" s="26"/>
      <c r="P122" s="54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60"/>
      <c r="E123" s="27" t="s">
        <v>42</v>
      </c>
      <c r="F123" s="28">
        <f t="shared" ref="F123:H123" si="83">SUM(F121:F122)</f>
        <v>1619282720</v>
      </c>
      <c r="G123" s="28">
        <f t="shared" si="83"/>
        <v>1234421084</v>
      </c>
      <c r="H123" s="28">
        <f t="shared" si="83"/>
        <v>384861636</v>
      </c>
      <c r="I123" s="30">
        <f t="shared" si="82"/>
        <v>0.237674145</v>
      </c>
      <c r="J123" s="31">
        <f>SUM(F123:F125)</f>
        <v>1619282720</v>
      </c>
      <c r="K123" s="25"/>
      <c r="L123" s="25"/>
      <c r="M123" s="26"/>
      <c r="N123" s="32">
        <f>SUM(H123:H125)</f>
        <v>384861636</v>
      </c>
      <c r="O123" s="30">
        <f>(I123:I125)</f>
        <v>0.237674145</v>
      </c>
      <c r="P123" s="45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60"/>
      <c r="E124" s="23" t="s">
        <v>43</v>
      </c>
      <c r="F124" s="13">
        <f t="shared" ref="F124:F125" si="84">SUMIFS($F$109:$F$119,$B$109:$B$119,E124)</f>
        <v>0</v>
      </c>
      <c r="G124" s="13">
        <f t="shared" ref="G124:G125" si="85">SUMIFS($G$109:$G$120,$B$109:$B$120,E124)</f>
        <v>0</v>
      </c>
      <c r="H124" s="13">
        <f t="shared" ref="H124:H125" si="86">SUMIFS($H$109:$H$119,$B$109:$B$119,E124)</f>
        <v>0</v>
      </c>
      <c r="I124" s="14">
        <f t="shared" si="82"/>
        <v>0</v>
      </c>
      <c r="J124" s="33" t="s">
        <v>44</v>
      </c>
      <c r="K124" s="25"/>
      <c r="L124" s="25"/>
      <c r="M124" s="25"/>
      <c r="N124" s="25"/>
      <c r="O124" s="26"/>
      <c r="P124" s="45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60"/>
      <c r="E125" s="23" t="s">
        <v>45</v>
      </c>
      <c r="F125" s="13">
        <f t="shared" si="84"/>
        <v>0</v>
      </c>
      <c r="G125" s="13">
        <f t="shared" si="85"/>
        <v>0</v>
      </c>
      <c r="H125" s="13">
        <f t="shared" si="86"/>
        <v>0</v>
      </c>
      <c r="I125" s="14">
        <f t="shared" si="82"/>
        <v>0</v>
      </c>
      <c r="J125" s="34">
        <f>SUM(F123-J123)</f>
        <v>0</v>
      </c>
      <c r="K125" s="25"/>
      <c r="L125" s="25"/>
      <c r="M125" s="26"/>
      <c r="N125" s="28">
        <f t="shared" ref="N125:O125" si="87">SUM(H123-N123)</f>
        <v>0</v>
      </c>
      <c r="O125" s="30">
        <f t="shared" si="87"/>
        <v>0</v>
      </c>
      <c r="P125" s="45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73"/>
      <c r="G126" s="2"/>
      <c r="H126" s="73"/>
      <c r="I126" s="74"/>
      <c r="J126" s="67"/>
      <c r="K126" s="68"/>
      <c r="L126" s="68"/>
      <c r="M126" s="68"/>
      <c r="N126" s="6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75"/>
      <c r="G127" s="75"/>
      <c r="H127" s="75"/>
      <c r="I127" s="3"/>
      <c r="J127" s="1"/>
      <c r="K127" s="1"/>
      <c r="L127" s="1"/>
      <c r="M127" s="1"/>
      <c r="N127" s="1"/>
      <c r="O127" s="1"/>
      <c r="P127" s="35"/>
      <c r="Q127" s="1"/>
      <c r="R127" s="1"/>
      <c r="S127" s="2"/>
      <c r="T127" s="2"/>
      <c r="U127" s="2"/>
      <c r="V127" s="2"/>
      <c r="W127" s="1"/>
      <c r="X127" s="1"/>
      <c r="Y127" s="1"/>
    </row>
    <row r="128">
      <c r="A128" s="8">
        <f>A118+1</f>
        <v>49</v>
      </c>
      <c r="B128" s="8" t="s">
        <v>14</v>
      </c>
      <c r="C128" s="8">
        <v>8.0</v>
      </c>
      <c r="D128" s="9" t="s">
        <v>15</v>
      </c>
      <c r="E128" s="10" t="s">
        <v>94</v>
      </c>
      <c r="F128" s="11">
        <v>9.3582E7</v>
      </c>
      <c r="G128" s="11">
        <v>7.5E7</v>
      </c>
      <c r="H128" s="13">
        <f t="shared" ref="H128:H139" si="88">F128-G128</f>
        <v>18582000</v>
      </c>
      <c r="I128" s="14">
        <f t="shared" ref="I128:I139" si="89">IFERROR(H128/F128,0)</f>
        <v>0.1985638264</v>
      </c>
      <c r="J128" s="8" t="s">
        <v>17</v>
      </c>
      <c r="K128" s="15"/>
      <c r="L128" s="15"/>
      <c r="M128" s="9" t="s">
        <v>26</v>
      </c>
      <c r="N128" s="16" t="s">
        <v>19</v>
      </c>
      <c r="O128" s="15"/>
      <c r="P128" s="35"/>
      <c r="Q128" s="1"/>
      <c r="R128" s="1"/>
      <c r="S128" s="2"/>
      <c r="T128" s="2"/>
      <c r="U128" s="2"/>
      <c r="V128" s="2"/>
      <c r="W128" s="1"/>
      <c r="X128" s="1"/>
      <c r="Y128" s="1"/>
    </row>
    <row r="129">
      <c r="A129" s="8">
        <f t="shared" ref="A129:A139" si="90">A128+1</f>
        <v>50</v>
      </c>
      <c r="B129" s="8" t="s">
        <v>14</v>
      </c>
      <c r="C129" s="8">
        <v>8.0</v>
      </c>
      <c r="D129" s="9" t="s">
        <v>15</v>
      </c>
      <c r="E129" s="55" t="s">
        <v>95</v>
      </c>
      <c r="F129" s="12">
        <v>4.3794E7</v>
      </c>
      <c r="G129" s="12">
        <v>3.661382E7</v>
      </c>
      <c r="H129" s="13">
        <f t="shared" si="88"/>
        <v>7180180</v>
      </c>
      <c r="I129" s="14">
        <f t="shared" si="89"/>
        <v>0.1639535096</v>
      </c>
      <c r="J129" s="16" t="s">
        <v>17</v>
      </c>
      <c r="K129" s="15"/>
      <c r="L129" s="15"/>
      <c r="M129" s="9" t="s">
        <v>26</v>
      </c>
      <c r="N129" s="16" t="s">
        <v>19</v>
      </c>
      <c r="O129" s="15"/>
      <c r="P129" s="1"/>
      <c r="Q129" s="1"/>
      <c r="R129" s="1"/>
      <c r="S129" s="2"/>
      <c r="T129" s="2"/>
      <c r="U129" s="2"/>
      <c r="V129" s="43"/>
      <c r="W129" s="1"/>
      <c r="X129" s="1"/>
      <c r="Y129" s="1"/>
    </row>
    <row r="130">
      <c r="A130" s="8">
        <f t="shared" si="90"/>
        <v>51</v>
      </c>
      <c r="B130" s="16" t="s">
        <v>14</v>
      </c>
      <c r="C130" s="8">
        <v>8.0</v>
      </c>
      <c r="D130" s="9" t="s">
        <v>15</v>
      </c>
      <c r="E130" s="55" t="s">
        <v>96</v>
      </c>
      <c r="F130" s="12">
        <v>1.8515E8</v>
      </c>
      <c r="G130" s="12">
        <v>1.705545E8</v>
      </c>
      <c r="H130" s="13">
        <f t="shared" si="88"/>
        <v>14595500</v>
      </c>
      <c r="I130" s="14">
        <f t="shared" si="89"/>
        <v>0.07883067783</v>
      </c>
      <c r="J130" s="8" t="s">
        <v>17</v>
      </c>
      <c r="K130" s="15"/>
      <c r="L130" s="15"/>
      <c r="M130" s="9" t="s">
        <v>23</v>
      </c>
      <c r="N130" s="16" t="s">
        <v>19</v>
      </c>
      <c r="O130" s="15"/>
      <c r="P130" s="35"/>
      <c r="Q130" s="1"/>
      <c r="R130" s="1"/>
      <c r="S130" s="76"/>
      <c r="T130" s="2"/>
      <c r="U130" s="76"/>
      <c r="V130" s="2"/>
      <c r="W130" s="3"/>
      <c r="X130" s="1"/>
      <c r="Y130" s="1"/>
    </row>
    <row r="131">
      <c r="A131" s="8">
        <f t="shared" si="90"/>
        <v>52</v>
      </c>
      <c r="B131" s="16" t="s">
        <v>14</v>
      </c>
      <c r="C131" s="8">
        <v>8.0</v>
      </c>
      <c r="D131" s="9" t="s">
        <v>62</v>
      </c>
      <c r="E131" s="36" t="s">
        <v>97</v>
      </c>
      <c r="F131" s="12">
        <v>9.2906E7</v>
      </c>
      <c r="G131" s="12">
        <v>6.141E7</v>
      </c>
      <c r="H131" s="13">
        <f t="shared" si="88"/>
        <v>31496000</v>
      </c>
      <c r="I131" s="14">
        <f t="shared" si="89"/>
        <v>0.3390093212</v>
      </c>
      <c r="J131" s="8" t="s">
        <v>17</v>
      </c>
      <c r="K131" s="15"/>
      <c r="L131" s="15"/>
      <c r="M131" s="9" t="s">
        <v>18</v>
      </c>
      <c r="N131" s="16" t="s">
        <v>19</v>
      </c>
      <c r="O131" s="15"/>
      <c r="P131" s="35"/>
      <c r="Q131" s="1"/>
      <c r="R131" s="1"/>
      <c r="S131" s="21"/>
      <c r="T131" s="2"/>
      <c r="U131" s="21"/>
      <c r="V131" s="2"/>
      <c r="W131" s="1"/>
      <c r="X131" s="1"/>
      <c r="Y131" s="1"/>
    </row>
    <row r="132">
      <c r="A132" s="8">
        <f t="shared" si="90"/>
        <v>53</v>
      </c>
      <c r="B132" s="16" t="s">
        <v>14</v>
      </c>
      <c r="C132" s="8">
        <v>8.0</v>
      </c>
      <c r="D132" s="9" t="s">
        <v>62</v>
      </c>
      <c r="E132" s="36" t="s">
        <v>98</v>
      </c>
      <c r="F132" s="12">
        <v>6.5362E7</v>
      </c>
      <c r="G132" s="12">
        <v>4.299E7</v>
      </c>
      <c r="H132" s="13">
        <f t="shared" si="88"/>
        <v>22372000</v>
      </c>
      <c r="I132" s="14">
        <f t="shared" si="89"/>
        <v>0.3422783881</v>
      </c>
      <c r="J132" s="8" t="s">
        <v>17</v>
      </c>
      <c r="K132" s="15"/>
      <c r="L132" s="15"/>
      <c r="M132" s="9" t="s">
        <v>18</v>
      </c>
      <c r="N132" s="16" t="s">
        <v>19</v>
      </c>
      <c r="O132" s="15"/>
      <c r="P132" s="35"/>
      <c r="Q132" s="1"/>
      <c r="R132" s="1"/>
      <c r="S132" s="21"/>
      <c r="T132" s="2"/>
      <c r="U132" s="21"/>
      <c r="V132" s="2"/>
      <c r="W132" s="1"/>
      <c r="X132" s="1"/>
      <c r="Y132" s="1"/>
    </row>
    <row r="133">
      <c r="A133" s="8">
        <f t="shared" si="90"/>
        <v>54</v>
      </c>
      <c r="B133" s="16" t="s">
        <v>14</v>
      </c>
      <c r="C133" s="8">
        <v>8.0</v>
      </c>
      <c r="D133" s="9" t="s">
        <v>62</v>
      </c>
      <c r="E133" s="36" t="s">
        <v>99</v>
      </c>
      <c r="F133" s="12">
        <v>6.9927E7</v>
      </c>
      <c r="G133" s="12">
        <v>4.787E7</v>
      </c>
      <c r="H133" s="13">
        <f t="shared" si="88"/>
        <v>22057000</v>
      </c>
      <c r="I133" s="14">
        <f t="shared" si="89"/>
        <v>0.3154289473</v>
      </c>
      <c r="J133" s="8" t="s">
        <v>17</v>
      </c>
      <c r="K133" s="15"/>
      <c r="L133" s="15"/>
      <c r="M133" s="9" t="s">
        <v>18</v>
      </c>
      <c r="N133" s="16" t="s">
        <v>19</v>
      </c>
      <c r="O133" s="15"/>
      <c r="P133" s="35"/>
      <c r="Q133" s="1"/>
      <c r="R133" s="1"/>
      <c r="S133" s="21"/>
      <c r="T133" s="2"/>
      <c r="U133" s="21"/>
      <c r="V133" s="2"/>
      <c r="W133" s="1"/>
      <c r="X133" s="1"/>
      <c r="Y133" s="1"/>
    </row>
    <row r="134">
      <c r="A134" s="8">
        <f t="shared" si="90"/>
        <v>55</v>
      </c>
      <c r="B134" s="16" t="s">
        <v>14</v>
      </c>
      <c r="C134" s="8">
        <v>8.0</v>
      </c>
      <c r="D134" s="9" t="s">
        <v>62</v>
      </c>
      <c r="E134" s="36" t="s">
        <v>100</v>
      </c>
      <c r="F134" s="12">
        <v>8.8616E7</v>
      </c>
      <c r="G134" s="12">
        <v>6.258E7</v>
      </c>
      <c r="H134" s="13">
        <f t="shared" si="88"/>
        <v>26036000</v>
      </c>
      <c r="I134" s="14">
        <f t="shared" si="89"/>
        <v>0.2938069875</v>
      </c>
      <c r="J134" s="8" t="s">
        <v>17</v>
      </c>
      <c r="K134" s="15"/>
      <c r="L134" s="15"/>
      <c r="M134" s="9" t="s">
        <v>18</v>
      </c>
      <c r="N134" s="16" t="s">
        <v>19</v>
      </c>
      <c r="O134" s="15"/>
      <c r="P134" s="35"/>
      <c r="Q134" s="1"/>
      <c r="R134" s="1"/>
      <c r="S134" s="21"/>
      <c r="T134" s="2"/>
      <c r="U134" s="21"/>
      <c r="V134" s="2"/>
      <c r="W134" s="1"/>
      <c r="X134" s="1"/>
      <c r="Y134" s="1"/>
    </row>
    <row r="135">
      <c r="A135" s="8">
        <f t="shared" si="90"/>
        <v>56</v>
      </c>
      <c r="B135" s="16" t="s">
        <v>14</v>
      </c>
      <c r="C135" s="8">
        <v>8.0</v>
      </c>
      <c r="D135" s="9" t="s">
        <v>62</v>
      </c>
      <c r="E135" s="17" t="s">
        <v>101</v>
      </c>
      <c r="F135" s="11">
        <v>1.3585E7</v>
      </c>
      <c r="G135" s="11">
        <v>1.0E7</v>
      </c>
      <c r="H135" s="13">
        <f t="shared" si="88"/>
        <v>3585000</v>
      </c>
      <c r="I135" s="14">
        <f t="shared" si="89"/>
        <v>0.2638940007</v>
      </c>
      <c r="J135" s="8" t="s">
        <v>17</v>
      </c>
      <c r="K135" s="15"/>
      <c r="L135" s="15"/>
      <c r="M135" s="9" t="s">
        <v>26</v>
      </c>
      <c r="N135" s="16" t="s">
        <v>19</v>
      </c>
      <c r="O135" s="15"/>
      <c r="P135" s="35"/>
      <c r="Q135" s="1"/>
      <c r="R135" s="1"/>
      <c r="S135" s="21"/>
      <c r="T135" s="2"/>
      <c r="U135" s="21"/>
      <c r="V135" s="2"/>
      <c r="W135" s="1"/>
      <c r="X135" s="1"/>
      <c r="Y135" s="1"/>
    </row>
    <row r="136">
      <c r="A136" s="8">
        <f t="shared" si="90"/>
        <v>57</v>
      </c>
      <c r="B136" s="16" t="s">
        <v>14</v>
      </c>
      <c r="C136" s="8">
        <v>8.0</v>
      </c>
      <c r="D136" s="9" t="s">
        <v>62</v>
      </c>
      <c r="E136" s="17" t="s">
        <v>102</v>
      </c>
      <c r="F136" s="11">
        <v>1.32E7</v>
      </c>
      <c r="G136" s="11">
        <v>1.0E7</v>
      </c>
      <c r="H136" s="13">
        <f t="shared" si="88"/>
        <v>3200000</v>
      </c>
      <c r="I136" s="14">
        <f t="shared" si="89"/>
        <v>0.2424242424</v>
      </c>
      <c r="J136" s="8" t="s">
        <v>17</v>
      </c>
      <c r="K136" s="15"/>
      <c r="L136" s="15"/>
      <c r="M136" s="9" t="s">
        <v>26</v>
      </c>
      <c r="N136" s="16" t="s">
        <v>19</v>
      </c>
      <c r="O136" s="15"/>
      <c r="P136" s="35"/>
      <c r="Q136" s="1"/>
      <c r="R136" s="1"/>
      <c r="S136" s="21"/>
      <c r="T136" s="2"/>
      <c r="U136" s="21"/>
      <c r="V136" s="2"/>
      <c r="W136" s="1"/>
      <c r="X136" s="1"/>
      <c r="Y136" s="1"/>
    </row>
    <row r="137">
      <c r="A137" s="8">
        <f t="shared" si="90"/>
        <v>58</v>
      </c>
      <c r="B137" s="16" t="s">
        <v>14</v>
      </c>
      <c r="C137" s="8">
        <v>8.0</v>
      </c>
      <c r="D137" s="9" t="s">
        <v>62</v>
      </c>
      <c r="E137" s="17" t="s">
        <v>103</v>
      </c>
      <c r="F137" s="11">
        <v>1.54E7</v>
      </c>
      <c r="G137" s="11">
        <v>1.0E7</v>
      </c>
      <c r="H137" s="13">
        <f t="shared" si="88"/>
        <v>5400000</v>
      </c>
      <c r="I137" s="14">
        <f t="shared" si="89"/>
        <v>0.3506493506</v>
      </c>
      <c r="J137" s="8" t="s">
        <v>17</v>
      </c>
      <c r="K137" s="15"/>
      <c r="L137" s="15"/>
      <c r="M137" s="9" t="s">
        <v>26</v>
      </c>
      <c r="N137" s="16" t="s">
        <v>19</v>
      </c>
      <c r="O137" s="15"/>
      <c r="P137" s="35"/>
      <c r="Q137" s="1"/>
      <c r="R137" s="1"/>
      <c r="S137" s="21"/>
      <c r="T137" s="2"/>
      <c r="U137" s="21"/>
      <c r="V137" s="2"/>
      <c r="W137" s="1"/>
      <c r="X137" s="1"/>
      <c r="Y137" s="1"/>
    </row>
    <row r="138">
      <c r="A138" s="8">
        <f t="shared" si="90"/>
        <v>59</v>
      </c>
      <c r="B138" s="16" t="s">
        <v>14</v>
      </c>
      <c r="C138" s="8">
        <v>8.0</v>
      </c>
      <c r="D138" s="9" t="s">
        <v>104</v>
      </c>
      <c r="E138" s="17" t="s">
        <v>105</v>
      </c>
      <c r="F138" s="11">
        <v>1.5106833E9</v>
      </c>
      <c r="G138" s="11">
        <v>1.221574E9</v>
      </c>
      <c r="H138" s="13">
        <f t="shared" si="88"/>
        <v>289109300</v>
      </c>
      <c r="I138" s="14">
        <f t="shared" si="89"/>
        <v>0.1913765115</v>
      </c>
      <c r="J138" s="16" t="s">
        <v>106</v>
      </c>
      <c r="K138" s="15"/>
      <c r="L138" s="15"/>
      <c r="M138" s="9" t="s">
        <v>18</v>
      </c>
      <c r="N138" s="16" t="s">
        <v>107</v>
      </c>
      <c r="O138" s="15"/>
      <c r="P138" s="35"/>
      <c r="Q138" s="1"/>
      <c r="R138" s="1"/>
      <c r="S138" s="21"/>
      <c r="T138" s="2"/>
      <c r="U138" s="21"/>
      <c r="V138" s="2"/>
      <c r="W138" s="1"/>
      <c r="X138" s="1"/>
      <c r="Y138" s="1"/>
    </row>
    <row r="139">
      <c r="A139" s="8">
        <f t="shared" si="90"/>
        <v>60</v>
      </c>
      <c r="B139" s="16" t="s">
        <v>14</v>
      </c>
      <c r="C139" s="8">
        <v>8.0</v>
      </c>
      <c r="D139" s="9" t="s">
        <v>108</v>
      </c>
      <c r="E139" s="17" t="s">
        <v>109</v>
      </c>
      <c r="F139" s="11">
        <v>3.278E7</v>
      </c>
      <c r="G139" s="11">
        <v>1.925E7</v>
      </c>
      <c r="H139" s="13">
        <f t="shared" si="88"/>
        <v>13530000</v>
      </c>
      <c r="I139" s="14">
        <f t="shared" si="89"/>
        <v>0.4127516779</v>
      </c>
      <c r="J139" s="16" t="s">
        <v>106</v>
      </c>
      <c r="K139" s="15"/>
      <c r="L139" s="15"/>
      <c r="M139" s="9" t="s">
        <v>23</v>
      </c>
      <c r="N139" s="16" t="s">
        <v>110</v>
      </c>
      <c r="O139" s="15"/>
      <c r="P139" s="35"/>
      <c r="Q139" s="1"/>
      <c r="R139" s="1"/>
      <c r="S139" s="21"/>
      <c r="T139" s="2"/>
      <c r="U139" s="21"/>
      <c r="V139" s="2"/>
      <c r="W139" s="1"/>
      <c r="X139" s="1"/>
      <c r="Y139" s="1"/>
    </row>
    <row r="140">
      <c r="A140" s="1"/>
      <c r="B140" s="1"/>
      <c r="C140" s="1"/>
      <c r="D140" s="1"/>
      <c r="E140" s="35"/>
      <c r="F140" s="21"/>
      <c r="G140" s="21"/>
      <c r="H140" s="19"/>
      <c r="I140" s="3"/>
      <c r="J140" s="1"/>
      <c r="K140" s="1"/>
      <c r="L140" s="1"/>
      <c r="M140" s="1"/>
      <c r="N140" s="1"/>
      <c r="O140" s="1"/>
      <c r="P140" s="35"/>
      <c r="Q140" s="1"/>
      <c r="R140" s="1"/>
      <c r="S140" s="21"/>
      <c r="T140" s="2"/>
      <c r="U140" s="21"/>
      <c r="V140" s="2"/>
      <c r="W140" s="1"/>
      <c r="X140" s="1"/>
      <c r="Y140" s="1"/>
    </row>
    <row r="141">
      <c r="A141" s="1"/>
      <c r="B141" s="1"/>
      <c r="C141" s="1"/>
      <c r="D141" s="1"/>
      <c r="E141" s="1"/>
      <c r="F141" s="2"/>
      <c r="G141" s="2"/>
      <c r="H141" s="2"/>
      <c r="I141" s="3"/>
      <c r="J141" s="1"/>
      <c r="K141" s="1"/>
      <c r="L141" s="1"/>
      <c r="M141" s="1"/>
      <c r="N141" s="1"/>
      <c r="O141" s="1"/>
      <c r="P141" s="35"/>
      <c r="Q141" s="1"/>
      <c r="R141" s="1"/>
      <c r="S141" s="2"/>
      <c r="T141" s="2"/>
      <c r="U141" s="2"/>
      <c r="V141" s="2"/>
      <c r="W141" s="1"/>
      <c r="X141" s="1"/>
      <c r="Y141" s="1"/>
    </row>
    <row r="142">
      <c r="A142" s="1"/>
      <c r="B142" s="1"/>
      <c r="C142" s="1"/>
      <c r="D142" s="22" t="s">
        <v>111</v>
      </c>
      <c r="E142" s="23" t="s">
        <v>14</v>
      </c>
      <c r="F142" s="13">
        <f t="shared" ref="F142:F143" si="91">SUMIFS($F$128:$F$141,$B$128:$B$141,E142)</f>
        <v>2224985300</v>
      </c>
      <c r="G142" s="13">
        <f t="shared" ref="G142:G143" si="92">SUMIFS($G$128:$G$141,$B$128:$B$141,E142)</f>
        <v>1767842320</v>
      </c>
      <c r="H142" s="13">
        <f t="shared" ref="H142:H143" si="93">SUMIFS($H$128:$H$141,$B$128:$B$141,E142)</f>
        <v>457142980</v>
      </c>
      <c r="I142" s="14">
        <f t="shared" ref="I142:I146" si="94">IFERROR(H142/F142,0)</f>
        <v>0.2054588765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72" t="s">
        <v>93</v>
      </c>
      <c r="E143" s="23" t="s">
        <v>40</v>
      </c>
      <c r="F143" s="13">
        <f t="shared" si="91"/>
        <v>0</v>
      </c>
      <c r="G143" s="13">
        <f t="shared" si="92"/>
        <v>0</v>
      </c>
      <c r="H143" s="13">
        <f t="shared" si="93"/>
        <v>0</v>
      </c>
      <c r="I143" s="14">
        <f t="shared" si="94"/>
        <v>0</v>
      </c>
      <c r="J143" s="24" t="s">
        <v>41</v>
      </c>
      <c r="K143" s="25"/>
      <c r="L143" s="25"/>
      <c r="M143" s="25"/>
      <c r="N143" s="25"/>
      <c r="O143" s="26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60"/>
      <c r="E144" s="27" t="s">
        <v>42</v>
      </c>
      <c r="F144" s="28">
        <f t="shared" ref="F144:H144" si="95">SUM(F142:F143)</f>
        <v>2224985300</v>
      </c>
      <c r="G144" s="28">
        <f t="shared" si="95"/>
        <v>1767842320</v>
      </c>
      <c r="H144" s="28">
        <f t="shared" si="95"/>
        <v>457142980</v>
      </c>
      <c r="I144" s="30">
        <f t="shared" si="94"/>
        <v>0.2054588765</v>
      </c>
      <c r="J144" s="31">
        <f>SUM(F144:F146)</f>
        <v>2224985300</v>
      </c>
      <c r="K144" s="25"/>
      <c r="L144" s="25"/>
      <c r="M144" s="26"/>
      <c r="N144" s="32">
        <f>SUM(H144:H146)</f>
        <v>457142980</v>
      </c>
      <c r="O144" s="30">
        <f>SUM(N144/J144)</f>
        <v>0.2054588765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60"/>
      <c r="E145" s="23" t="s">
        <v>43</v>
      </c>
      <c r="F145" s="13">
        <f>SUMIFS($F$128:$F$141,$B$128:$B$141,E145)</f>
        <v>0</v>
      </c>
      <c r="G145" s="13">
        <f t="shared" ref="G145:G146" si="96">SUMIFS($G$128:$G$141,$B$128:$B$141,E145)</f>
        <v>0</v>
      </c>
      <c r="H145" s="13">
        <f>SUMIFS($H$128:$H$141,$B$128:$B$141,E145)</f>
        <v>0</v>
      </c>
      <c r="I145" s="14">
        <f t="shared" si="94"/>
        <v>0</v>
      </c>
      <c r="J145" s="33" t="s">
        <v>44</v>
      </c>
      <c r="K145" s="25"/>
      <c r="L145" s="25"/>
      <c r="M145" s="25"/>
      <c r="N145" s="25"/>
      <c r="O145" s="26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60"/>
      <c r="E146" s="23" t="s">
        <v>45</v>
      </c>
      <c r="F146" s="13">
        <f>SUMIFS($F$129:$F$141,$B$129:$B$141,E146)</f>
        <v>0</v>
      </c>
      <c r="G146" s="13">
        <f t="shared" si="96"/>
        <v>0</v>
      </c>
      <c r="H146" s="13">
        <f>SUMIFS($H$129:$H$141,$B$129:$B$141,E146)</f>
        <v>0</v>
      </c>
      <c r="I146" s="14">
        <f t="shared" si="94"/>
        <v>0</v>
      </c>
      <c r="J146" s="34">
        <f>SUM(F144-J144)</f>
        <v>0</v>
      </c>
      <c r="K146" s="25"/>
      <c r="L146" s="25"/>
      <c r="M146" s="26"/>
      <c r="N146" s="28">
        <f t="shared" ref="N146:O146" si="97">SUM(H144-N144)</f>
        <v>0</v>
      </c>
      <c r="O146" s="30">
        <f t="shared" si="97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77"/>
      <c r="G147" s="77"/>
      <c r="H147" s="77"/>
      <c r="I147" s="78"/>
      <c r="J147" s="67"/>
      <c r="K147" s="68"/>
      <c r="L147" s="68"/>
      <c r="M147" s="68"/>
      <c r="N147" s="6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75"/>
      <c r="G148" s="75"/>
      <c r="H148" s="75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2"/>
      <c r="T148" s="2"/>
      <c r="U148" s="2"/>
      <c r="V148" s="2"/>
      <c r="W148" s="1"/>
      <c r="X148" s="1"/>
      <c r="Y148" s="1"/>
    </row>
    <row r="149">
      <c r="A149" s="8">
        <f>A139+1</f>
        <v>61</v>
      </c>
      <c r="B149" s="16" t="s">
        <v>14</v>
      </c>
      <c r="C149" s="8">
        <v>9.0</v>
      </c>
      <c r="D149" s="9" t="s">
        <v>62</v>
      </c>
      <c r="E149" s="55" t="s">
        <v>112</v>
      </c>
      <c r="F149" s="12">
        <v>2.45256E7</v>
      </c>
      <c r="G149" s="12">
        <v>1.9096E7</v>
      </c>
      <c r="H149" s="13">
        <f t="shared" ref="H149:H150" si="98">F149-G149</f>
        <v>5429600</v>
      </c>
      <c r="I149" s="14">
        <f t="shared" ref="I149:I150" si="99">IFERROR(H149/F149,0)</f>
        <v>0.2213850018</v>
      </c>
      <c r="J149" s="8" t="s">
        <v>17</v>
      </c>
      <c r="K149" s="15"/>
      <c r="L149" s="15"/>
      <c r="M149" s="9" t="s">
        <v>18</v>
      </c>
      <c r="N149" s="9"/>
      <c r="O149" s="15"/>
      <c r="P149" s="1"/>
      <c r="Q149" s="1"/>
      <c r="R149" s="1"/>
      <c r="S149" s="2"/>
      <c r="T149" s="2"/>
      <c r="U149" s="2"/>
      <c r="V149" s="2"/>
      <c r="W149" s="1"/>
      <c r="X149" s="1"/>
      <c r="Y149" s="1"/>
    </row>
    <row r="150">
      <c r="A150" s="8">
        <f>A149+1</f>
        <v>62</v>
      </c>
      <c r="B150" s="16" t="s">
        <v>14</v>
      </c>
      <c r="C150" s="8">
        <v>9.0</v>
      </c>
      <c r="D150" s="9" t="s">
        <v>62</v>
      </c>
      <c r="E150" s="55" t="s">
        <v>113</v>
      </c>
      <c r="F150" s="12">
        <v>1.8535E7</v>
      </c>
      <c r="G150" s="12">
        <v>1.32E7</v>
      </c>
      <c r="H150" s="13">
        <f t="shared" si="98"/>
        <v>5335000</v>
      </c>
      <c r="I150" s="14">
        <f t="shared" si="99"/>
        <v>0.2878338279</v>
      </c>
      <c r="J150" s="8" t="s">
        <v>17</v>
      </c>
      <c r="K150" s="15"/>
      <c r="L150" s="15"/>
      <c r="M150" s="9" t="s">
        <v>26</v>
      </c>
      <c r="N150" s="9"/>
      <c r="O150" s="15"/>
      <c r="P150" s="1"/>
      <c r="Q150" s="1"/>
      <c r="R150" s="1"/>
      <c r="S150" s="2"/>
      <c r="T150" s="2"/>
      <c r="U150" s="2"/>
      <c r="V150" s="2"/>
      <c r="W150" s="1"/>
      <c r="X150" s="1"/>
      <c r="Y150" s="1"/>
    </row>
    <row r="151">
      <c r="A151" s="18"/>
      <c r="B151" s="18"/>
      <c r="C151" s="18"/>
      <c r="D151" s="35"/>
      <c r="E151" s="35"/>
      <c r="F151" s="19"/>
      <c r="G151" s="2"/>
      <c r="H151" s="19"/>
      <c r="I151" s="20"/>
      <c r="J151" s="18"/>
      <c r="K151" s="1"/>
      <c r="L151" s="1"/>
      <c r="M151" s="1"/>
      <c r="N151" s="1"/>
      <c r="O151" s="1"/>
      <c r="P151" s="35"/>
      <c r="Q151" s="1"/>
      <c r="R151" s="1"/>
      <c r="S151" s="2"/>
      <c r="T151" s="2"/>
      <c r="U151" s="2"/>
      <c r="V151" s="2"/>
      <c r="W151" s="1"/>
      <c r="X151" s="1"/>
      <c r="Y151" s="1"/>
    </row>
    <row r="152">
      <c r="A152" s="1"/>
      <c r="B152" s="1"/>
      <c r="C152" s="1"/>
      <c r="D152" s="1"/>
      <c r="E152" s="1"/>
      <c r="F152" s="2"/>
      <c r="G152" s="2"/>
      <c r="H152" s="2"/>
      <c r="I152" s="3"/>
      <c r="J152" s="1"/>
      <c r="K152" s="1"/>
      <c r="L152" s="1"/>
      <c r="M152" s="1"/>
      <c r="N152" s="1"/>
      <c r="O152" s="1"/>
      <c r="P152" s="35"/>
      <c r="Q152" s="1"/>
      <c r="R152" s="1"/>
      <c r="S152" s="2"/>
      <c r="T152" s="2"/>
      <c r="U152" s="2"/>
      <c r="V152" s="2"/>
      <c r="W152" s="1"/>
      <c r="X152" s="1"/>
      <c r="Y152" s="1"/>
    </row>
    <row r="153">
      <c r="A153" s="1"/>
      <c r="B153" s="1"/>
      <c r="C153" s="1"/>
      <c r="D153" s="22" t="s">
        <v>114</v>
      </c>
      <c r="E153" s="79" t="s">
        <v>14</v>
      </c>
      <c r="F153" s="13">
        <f t="shared" ref="F153:F154" si="100">SUMIFS($F$149:$F$152,$B$149:$B$152,E153)</f>
        <v>43060600</v>
      </c>
      <c r="G153" s="13">
        <f t="shared" ref="G153:G154" si="101">SUMIFS($G$149:$G$152,$B$149:$B$152,E153)</f>
        <v>32296000</v>
      </c>
      <c r="H153" s="13">
        <f t="shared" ref="H153:H154" si="102">SUMIFS($H$149:$H$152,$B$149:$B$152,E153)</f>
        <v>10764600</v>
      </c>
      <c r="I153" s="14">
        <f t="shared" ref="I153:I157" si="103">IFERROR(H153/F153,0)</f>
        <v>0.2499872273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59"/>
      <c r="E154" s="79" t="s">
        <v>40</v>
      </c>
      <c r="F154" s="13">
        <f t="shared" si="100"/>
        <v>0</v>
      </c>
      <c r="G154" s="13">
        <f t="shared" si="101"/>
        <v>0</v>
      </c>
      <c r="H154" s="13">
        <f t="shared" si="102"/>
        <v>0</v>
      </c>
      <c r="I154" s="14">
        <f t="shared" si="103"/>
        <v>0</v>
      </c>
      <c r="J154" s="24" t="s">
        <v>41</v>
      </c>
      <c r="K154" s="25"/>
      <c r="L154" s="25"/>
      <c r="M154" s="25"/>
      <c r="N154" s="25"/>
      <c r="O154" s="26"/>
      <c r="P154" s="54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60"/>
      <c r="E155" s="80" t="s">
        <v>42</v>
      </c>
      <c r="F155" s="28">
        <f t="shared" ref="F155:H155" si="104">SUM(F153:F154)</f>
        <v>43060600</v>
      </c>
      <c r="G155" s="28">
        <f t="shared" si="104"/>
        <v>32296000</v>
      </c>
      <c r="H155" s="28">
        <f t="shared" si="104"/>
        <v>10764600</v>
      </c>
      <c r="I155" s="30">
        <f t="shared" si="103"/>
        <v>0.2499872273</v>
      </c>
      <c r="J155" s="31">
        <f>SUM(F155:F157)</f>
        <v>43060600</v>
      </c>
      <c r="K155" s="25"/>
      <c r="L155" s="25"/>
      <c r="M155" s="26"/>
      <c r="N155" s="32">
        <f>SUM(H155:H157)</f>
        <v>10764600</v>
      </c>
      <c r="O155" s="30">
        <f>SUM(N155/J155)</f>
        <v>0.2499872273</v>
      </c>
      <c r="P155" s="45"/>
      <c r="Q155" s="22">
        <v>1.5887718E8</v>
      </c>
      <c r="R155" s="22">
        <v>2.8631742E7</v>
      </c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60"/>
      <c r="E156" s="79" t="s">
        <v>43</v>
      </c>
      <c r="F156" s="13">
        <f t="shared" ref="F156:F157" si="105">SUMIFS($F$149:$F$152,$B$149:$B$152,E156)</f>
        <v>0</v>
      </c>
      <c r="G156" s="13">
        <f t="shared" ref="G156:G157" si="106">SUMIFS($G$149:$G$152,$B$149:$B$152,E156)</f>
        <v>0</v>
      </c>
      <c r="H156" s="13">
        <f t="shared" ref="H156:H157" si="107">SUMIFS($H$149:$H$152,$B$149:$B$152,E156)</f>
        <v>0</v>
      </c>
      <c r="I156" s="14">
        <f t="shared" si="103"/>
        <v>0</v>
      </c>
      <c r="J156" s="33" t="s">
        <v>44</v>
      </c>
      <c r="K156" s="25"/>
      <c r="L156" s="25"/>
      <c r="M156" s="25"/>
      <c r="N156" s="25"/>
      <c r="O156" s="26"/>
      <c r="P156" s="45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60"/>
      <c r="E157" s="79" t="s">
        <v>45</v>
      </c>
      <c r="F157" s="13">
        <f t="shared" si="105"/>
        <v>0</v>
      </c>
      <c r="G157" s="13">
        <f t="shared" si="106"/>
        <v>0</v>
      </c>
      <c r="H157" s="13">
        <f t="shared" si="107"/>
        <v>0</v>
      </c>
      <c r="I157" s="14">
        <f t="shared" si="103"/>
        <v>0</v>
      </c>
      <c r="J157" s="69">
        <f>SUM(F155-J155)</f>
        <v>0</v>
      </c>
      <c r="K157" s="25"/>
      <c r="L157" s="25"/>
      <c r="M157" s="26"/>
      <c r="N157" s="70">
        <f t="shared" ref="N157:O157" si="108">SUM(H155-N155)</f>
        <v>0</v>
      </c>
      <c r="O157" s="30">
        <f t="shared" si="108"/>
        <v>0</v>
      </c>
      <c r="P157" s="45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46"/>
      <c r="G158" s="46"/>
      <c r="H158" s="46"/>
      <c r="I158" s="4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22" t="s">
        <v>115</v>
      </c>
      <c r="E159" s="23" t="s">
        <v>14</v>
      </c>
      <c r="F159" s="13">
        <f t="shared" ref="F159:H159" si="109">SUM(F153+F142+F121)</f>
        <v>3887328620</v>
      </c>
      <c r="G159" s="13">
        <f t="shared" si="109"/>
        <v>3034559404</v>
      </c>
      <c r="H159" s="13">
        <f t="shared" si="109"/>
        <v>852769216</v>
      </c>
      <c r="I159" s="14">
        <f t="shared" ref="I159:I163" si="111">IFERROR(H159/F159,0)</f>
        <v>0.2193715272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23" t="s">
        <v>40</v>
      </c>
      <c r="F160" s="13">
        <f t="shared" ref="F160:H160" si="110">SUM(F154+F143+F122)</f>
        <v>0</v>
      </c>
      <c r="G160" s="13">
        <f t="shared" si="110"/>
        <v>0</v>
      </c>
      <c r="H160" s="13">
        <f t="shared" si="110"/>
        <v>0</v>
      </c>
      <c r="I160" s="14">
        <f t="shared" si="111"/>
        <v>0</v>
      </c>
      <c r="J160" s="24" t="s">
        <v>41</v>
      </c>
      <c r="K160" s="25"/>
      <c r="L160" s="25"/>
      <c r="M160" s="25"/>
      <c r="N160" s="25"/>
      <c r="O160" s="26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27" t="s">
        <v>42</v>
      </c>
      <c r="F161" s="28">
        <f t="shared" ref="F161:H161" si="112">SUM(F159:F160)</f>
        <v>3887328620</v>
      </c>
      <c r="G161" s="28">
        <f t="shared" si="112"/>
        <v>3034559404</v>
      </c>
      <c r="H161" s="28">
        <f t="shared" si="112"/>
        <v>852769216</v>
      </c>
      <c r="I161" s="30">
        <f t="shared" si="111"/>
        <v>0.2193715272</v>
      </c>
      <c r="J161" s="31">
        <f>SUM(F161:F163)</f>
        <v>3887328620</v>
      </c>
      <c r="K161" s="25"/>
      <c r="L161" s="25"/>
      <c r="M161" s="26"/>
      <c r="N161" s="32">
        <f>SUM(H161:H163)</f>
        <v>852769216</v>
      </c>
      <c r="O161" s="30">
        <f>SUM(N161/J161)</f>
        <v>0.2193715272</v>
      </c>
      <c r="P161" s="1"/>
      <c r="Q161" s="22">
        <v>2.3543982E8</v>
      </c>
      <c r="R161" s="22">
        <v>4.3610937E7</v>
      </c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23" t="s">
        <v>43</v>
      </c>
      <c r="F162" s="13">
        <f t="shared" ref="F162:H162" si="113">SUM(F156+F145+F124)</f>
        <v>0</v>
      </c>
      <c r="G162" s="13">
        <f t="shared" si="113"/>
        <v>0</v>
      </c>
      <c r="H162" s="13">
        <f t="shared" si="113"/>
        <v>0</v>
      </c>
      <c r="I162" s="14">
        <f t="shared" si="111"/>
        <v>0</v>
      </c>
      <c r="J162" s="33" t="s">
        <v>44</v>
      </c>
      <c r="K162" s="25"/>
      <c r="L162" s="25"/>
      <c r="M162" s="25"/>
      <c r="N162" s="25"/>
      <c r="O162" s="26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23" t="s">
        <v>45</v>
      </c>
      <c r="F163" s="13">
        <f t="shared" ref="F163:H163" si="114">SUM(F157+F146+F125)</f>
        <v>0</v>
      </c>
      <c r="G163" s="13">
        <f t="shared" si="114"/>
        <v>0</v>
      </c>
      <c r="H163" s="13">
        <f t="shared" si="114"/>
        <v>0</v>
      </c>
      <c r="I163" s="14">
        <f t="shared" si="111"/>
        <v>0</v>
      </c>
      <c r="J163" s="69">
        <f>SUM(F161-J161)</f>
        <v>0</v>
      </c>
      <c r="K163" s="25"/>
      <c r="L163" s="25"/>
      <c r="M163" s="26"/>
      <c r="N163" s="70">
        <f t="shared" ref="N163:O163" si="115">SUM(H161-N161)</f>
        <v>0</v>
      </c>
      <c r="O163" s="30">
        <f t="shared" si="115"/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2"/>
      <c r="G164" s="2"/>
      <c r="H164" s="2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6">
        <f>A150+1</f>
        <v>63</v>
      </c>
      <c r="B165" s="16" t="s">
        <v>14</v>
      </c>
      <c r="C165" s="8">
        <v>10.0</v>
      </c>
      <c r="D165" s="9" t="s">
        <v>15</v>
      </c>
      <c r="E165" s="55" t="s">
        <v>116</v>
      </c>
      <c r="F165" s="12">
        <v>2.299914E8</v>
      </c>
      <c r="G165" s="12">
        <v>1.78049742E8</v>
      </c>
      <c r="H165" s="13">
        <f t="shared" ref="H165:H170" si="116">F165-G165</f>
        <v>51941658</v>
      </c>
      <c r="I165" s="14">
        <f t="shared" ref="I165:I170" si="117">IFERROR(H165/F165,0)</f>
        <v>0.2258417402</v>
      </c>
      <c r="J165" s="8" t="s">
        <v>17</v>
      </c>
      <c r="K165" s="15"/>
      <c r="L165" s="15"/>
      <c r="M165" s="9" t="s">
        <v>18</v>
      </c>
      <c r="N165" s="16" t="s">
        <v>19</v>
      </c>
      <c r="O165" s="15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8">
        <f t="shared" ref="A166:A168" si="118">A165+1</f>
        <v>64</v>
      </c>
      <c r="B166" s="16" t="s">
        <v>14</v>
      </c>
      <c r="C166" s="8">
        <v>10.0</v>
      </c>
      <c r="D166" s="9" t="s">
        <v>15</v>
      </c>
      <c r="E166" s="55" t="s">
        <v>117</v>
      </c>
      <c r="F166" s="12">
        <v>3.261168E7</v>
      </c>
      <c r="G166" s="12">
        <v>2.308995E7</v>
      </c>
      <c r="H166" s="13">
        <f t="shared" si="116"/>
        <v>9521730</v>
      </c>
      <c r="I166" s="14">
        <f t="shared" si="117"/>
        <v>0.2919729986</v>
      </c>
      <c r="J166" s="8" t="s">
        <v>17</v>
      </c>
      <c r="K166" s="15"/>
      <c r="L166" s="15"/>
      <c r="M166" s="9" t="s">
        <v>26</v>
      </c>
      <c r="N166" s="16" t="s">
        <v>19</v>
      </c>
      <c r="O166" s="15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8">
        <f t="shared" si="118"/>
        <v>65</v>
      </c>
      <c r="B167" s="16" t="s">
        <v>14</v>
      </c>
      <c r="C167" s="8">
        <v>10.0</v>
      </c>
      <c r="D167" s="9" t="s">
        <v>15</v>
      </c>
      <c r="E167" s="55" t="s">
        <v>118</v>
      </c>
      <c r="F167" s="12">
        <v>1.00008E8</v>
      </c>
      <c r="G167" s="12">
        <v>8.0E7</v>
      </c>
      <c r="H167" s="13">
        <f t="shared" si="116"/>
        <v>20008000</v>
      </c>
      <c r="I167" s="14">
        <f t="shared" si="117"/>
        <v>0.2000639949</v>
      </c>
      <c r="J167" s="8" t="s">
        <v>17</v>
      </c>
      <c r="K167" s="15"/>
      <c r="L167" s="15"/>
      <c r="M167" s="9" t="s">
        <v>18</v>
      </c>
      <c r="N167" s="16" t="s">
        <v>19</v>
      </c>
      <c r="O167" s="15"/>
      <c r="P167" s="35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8">
        <f t="shared" si="118"/>
        <v>66</v>
      </c>
      <c r="B168" s="16" t="s">
        <v>14</v>
      </c>
      <c r="C168" s="8">
        <v>10.0</v>
      </c>
      <c r="D168" s="15"/>
      <c r="E168" s="17" t="s">
        <v>119</v>
      </c>
      <c r="F168" s="11">
        <v>2.597E8</v>
      </c>
      <c r="G168" s="11">
        <v>2.078E8</v>
      </c>
      <c r="H168" s="13">
        <f t="shared" si="116"/>
        <v>51900000</v>
      </c>
      <c r="I168" s="14">
        <f t="shared" si="117"/>
        <v>0.1998459761</v>
      </c>
      <c r="J168" s="16" t="s">
        <v>106</v>
      </c>
      <c r="K168" s="15"/>
      <c r="L168" s="15"/>
      <c r="M168" s="9" t="s">
        <v>26</v>
      </c>
      <c r="N168" s="16" t="s">
        <v>120</v>
      </c>
      <c r="O168" s="15"/>
      <c r="P168" s="35"/>
      <c r="Q168" s="1"/>
      <c r="R168" s="1"/>
      <c r="S168" s="21"/>
      <c r="T168" s="2"/>
      <c r="U168" s="21"/>
      <c r="V168" s="43"/>
      <c r="W168" s="1"/>
      <c r="X168" s="1"/>
      <c r="Y168" s="1"/>
    </row>
    <row r="169">
      <c r="A169" s="8">
        <f t="shared" ref="A169:A170" si="119">A167+1</f>
        <v>66</v>
      </c>
      <c r="B169" s="16" t="s">
        <v>14</v>
      </c>
      <c r="C169" s="8">
        <v>10.0</v>
      </c>
      <c r="D169" s="36"/>
      <c r="E169" s="17" t="s">
        <v>121</v>
      </c>
      <c r="F169" s="11">
        <v>3.36475E8</v>
      </c>
      <c r="G169" s="11">
        <v>2.6127E8</v>
      </c>
      <c r="H169" s="13">
        <f t="shared" si="116"/>
        <v>75205000</v>
      </c>
      <c r="I169" s="14">
        <f t="shared" si="117"/>
        <v>0.223508433</v>
      </c>
      <c r="J169" s="16" t="s">
        <v>106</v>
      </c>
      <c r="K169" s="15"/>
      <c r="L169" s="15"/>
      <c r="M169" s="9" t="s">
        <v>26</v>
      </c>
      <c r="N169" s="16" t="s">
        <v>120</v>
      </c>
      <c r="O169" s="15"/>
      <c r="P169" s="35"/>
      <c r="Q169" s="1"/>
      <c r="R169" s="1"/>
      <c r="S169" s="2"/>
      <c r="T169" s="2"/>
      <c r="U169" s="2"/>
      <c r="V169" s="2"/>
      <c r="W169" s="1"/>
      <c r="X169" s="1"/>
      <c r="Y169" s="1"/>
    </row>
    <row r="170">
      <c r="A170" s="8">
        <f t="shared" si="119"/>
        <v>67</v>
      </c>
      <c r="B170" s="16" t="s">
        <v>14</v>
      </c>
      <c r="C170" s="8">
        <v>10.0</v>
      </c>
      <c r="D170" s="36"/>
      <c r="E170" s="17" t="s">
        <v>122</v>
      </c>
      <c r="F170" s="11">
        <v>2.8225E7</v>
      </c>
      <c r="G170" s="11">
        <v>2.045E7</v>
      </c>
      <c r="H170" s="13">
        <f t="shared" si="116"/>
        <v>7775000</v>
      </c>
      <c r="I170" s="14">
        <f t="shared" si="117"/>
        <v>0.2754650133</v>
      </c>
      <c r="J170" s="16" t="s">
        <v>106</v>
      </c>
      <c r="K170" s="15"/>
      <c r="L170" s="15"/>
      <c r="M170" s="9" t="s">
        <v>26</v>
      </c>
      <c r="N170" s="16" t="s">
        <v>120</v>
      </c>
      <c r="O170" s="15"/>
      <c r="P170" s="35"/>
      <c r="Q170" s="1"/>
      <c r="R170" s="1"/>
      <c r="S170" s="2"/>
      <c r="T170" s="2"/>
      <c r="U170" s="2"/>
      <c r="V170" s="2"/>
      <c r="W170" s="1"/>
      <c r="X170" s="1"/>
      <c r="Y170" s="1"/>
    </row>
    <row r="171">
      <c r="A171" s="18"/>
      <c r="B171" s="18"/>
      <c r="C171" s="18"/>
      <c r="D171" s="1"/>
      <c r="E171" s="1"/>
      <c r="F171" s="19"/>
      <c r="G171" s="2"/>
      <c r="H171" s="19"/>
      <c r="I171" s="20"/>
      <c r="J171" s="18"/>
      <c r="K171" s="1"/>
      <c r="L171" s="1"/>
      <c r="M171" s="1"/>
      <c r="N171" s="1"/>
      <c r="O171" s="1"/>
      <c r="P171" s="1"/>
      <c r="Q171" s="1"/>
      <c r="R171" s="1"/>
      <c r="S171" s="2"/>
      <c r="T171" s="2"/>
      <c r="U171" s="2"/>
      <c r="V171" s="2"/>
      <c r="W171" s="1"/>
      <c r="X171" s="1"/>
      <c r="Y171" s="1"/>
    </row>
    <row r="172">
      <c r="A172" s="1"/>
      <c r="B172" s="1"/>
      <c r="C172" s="1"/>
      <c r="D172" s="1"/>
      <c r="E172" s="1"/>
      <c r="F172" s="2"/>
      <c r="G172" s="2"/>
      <c r="H172" s="2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2"/>
      <c r="T172" s="2"/>
      <c r="U172" s="2"/>
      <c r="V172" s="2"/>
      <c r="W172" s="1"/>
      <c r="X172" s="1"/>
      <c r="Y172" s="1"/>
    </row>
    <row r="173">
      <c r="A173" s="1"/>
      <c r="B173" s="1"/>
      <c r="C173" s="1"/>
      <c r="D173" s="22" t="s">
        <v>123</v>
      </c>
      <c r="E173" s="79" t="s">
        <v>14</v>
      </c>
      <c r="F173" s="13">
        <f t="shared" ref="F173:F174" si="120">SUMIFS($F$165:$F$172,$B$165:$B$172,E173)</f>
        <v>987011080</v>
      </c>
      <c r="G173" s="13">
        <f t="shared" ref="G173:G174" si="121">SUMIFS($G$165:$G$172,$B$165:$B$172,E173)</f>
        <v>770659692</v>
      </c>
      <c r="H173" s="13">
        <f t="shared" ref="H173:H174" si="122">SUMIFS($H$165:$H$172,$B$165:$B$172,E173)</f>
        <v>216351388</v>
      </c>
      <c r="I173" s="14">
        <f t="shared" ref="I173:I177" si="123">IFERROR(H173/F173,0)</f>
        <v>0.2191985403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79" t="s">
        <v>40</v>
      </c>
      <c r="F174" s="13">
        <f t="shared" si="120"/>
        <v>0</v>
      </c>
      <c r="G174" s="13">
        <f t="shared" si="121"/>
        <v>0</v>
      </c>
      <c r="H174" s="13">
        <f t="shared" si="122"/>
        <v>0</v>
      </c>
      <c r="I174" s="14">
        <f t="shared" si="123"/>
        <v>0</v>
      </c>
      <c r="J174" s="24" t="s">
        <v>41</v>
      </c>
      <c r="K174" s="25"/>
      <c r="L174" s="25"/>
      <c r="M174" s="25"/>
      <c r="N174" s="25"/>
      <c r="O174" s="26"/>
      <c r="P174" s="54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80" t="s">
        <v>42</v>
      </c>
      <c r="F175" s="28">
        <f t="shared" ref="F175:H175" si="124">SUM(F173:F174)</f>
        <v>987011080</v>
      </c>
      <c r="G175" s="28">
        <f t="shared" si="124"/>
        <v>770659692</v>
      </c>
      <c r="H175" s="28">
        <f t="shared" si="124"/>
        <v>216351388</v>
      </c>
      <c r="I175" s="30">
        <f t="shared" si="123"/>
        <v>0.2191985403</v>
      </c>
      <c r="J175" s="31">
        <f>SUM(F175:F177)</f>
        <v>987011080</v>
      </c>
      <c r="K175" s="25"/>
      <c r="L175" s="25"/>
      <c r="M175" s="26"/>
      <c r="N175" s="32">
        <f>SUM(H175:H177)</f>
        <v>216351388</v>
      </c>
      <c r="O175" s="30">
        <f>SUM(N175/J175)</f>
        <v>0.2191985403</v>
      </c>
      <c r="P175" s="45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79" t="s">
        <v>43</v>
      </c>
      <c r="F176" s="13">
        <f>SUMIFS($F$165:$F$172,$B$165:$B$172,E176)</f>
        <v>0</v>
      </c>
      <c r="G176" s="13">
        <f t="shared" ref="G176:G177" si="125">SUMIFS($G$165:$G$172,$B$165:$B$172,E176)</f>
        <v>0</v>
      </c>
      <c r="H176" s="13">
        <f t="shared" ref="H176:H177" si="126">SUMIFS($H$165:$H$172,$B$165:$B$172,E176)</f>
        <v>0</v>
      </c>
      <c r="I176" s="14">
        <f t="shared" si="123"/>
        <v>0</v>
      </c>
      <c r="J176" s="33" t="s">
        <v>44</v>
      </c>
      <c r="K176" s="25"/>
      <c r="L176" s="25"/>
      <c r="M176" s="25"/>
      <c r="N176" s="25"/>
      <c r="O176" s="26"/>
      <c r="P176" s="45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79" t="s">
        <v>45</v>
      </c>
      <c r="F177" s="13">
        <f>SUMIFS($F$166:$F$172,$B$166:$B$172,E177)</f>
        <v>0</v>
      </c>
      <c r="G177" s="13">
        <f t="shared" si="125"/>
        <v>0</v>
      </c>
      <c r="H177" s="13">
        <f t="shared" si="126"/>
        <v>0</v>
      </c>
      <c r="I177" s="14">
        <f t="shared" si="123"/>
        <v>0</v>
      </c>
      <c r="J177" s="34">
        <f>SUM(F175-J175)</f>
        <v>0</v>
      </c>
      <c r="K177" s="25"/>
      <c r="L177" s="25"/>
      <c r="M177" s="26"/>
      <c r="N177" s="28">
        <f t="shared" ref="N177:O177" si="127">SUM(H175-N175)</f>
        <v>0</v>
      </c>
      <c r="O177" s="30">
        <f t="shared" si="127"/>
        <v>0</v>
      </c>
      <c r="P177" s="45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9"/>
      <c r="G178" s="2"/>
      <c r="H178" s="19"/>
      <c r="I178" s="4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F179" s="2"/>
      <c r="G179" s="2"/>
      <c r="H179" s="2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21"/>
      <c r="T179" s="81"/>
      <c r="U179" s="21"/>
      <c r="V179" s="81"/>
      <c r="W179" s="1"/>
      <c r="X179" s="1"/>
      <c r="Y179" s="1"/>
    </row>
    <row r="180">
      <c r="A180" s="8">
        <f>A170+1</f>
        <v>68</v>
      </c>
      <c r="B180" s="16" t="s">
        <v>14</v>
      </c>
      <c r="C180" s="8">
        <v>11.0</v>
      </c>
      <c r="D180" s="9"/>
      <c r="E180" s="10" t="s">
        <v>124</v>
      </c>
      <c r="F180" s="11">
        <v>8.2759E7</v>
      </c>
      <c r="G180" s="11">
        <v>7.2E7</v>
      </c>
      <c r="H180" s="13">
        <f t="shared" ref="H180:H187" si="128">F180-G180</f>
        <v>10759000</v>
      </c>
      <c r="I180" s="14">
        <f t="shared" ref="I180:I189" si="129">IFERROR(H180/F180,0)</f>
        <v>0.1300039875</v>
      </c>
      <c r="J180" s="18"/>
      <c r="K180" s="1"/>
      <c r="L180" s="1"/>
      <c r="M180" s="1"/>
      <c r="N180" s="50"/>
      <c r="O180" s="1"/>
      <c r="P180" s="1"/>
      <c r="Q180" s="1"/>
      <c r="R180" s="1"/>
      <c r="S180" s="21"/>
      <c r="T180" s="81"/>
      <c r="U180" s="21"/>
      <c r="V180" s="81"/>
      <c r="W180" s="1"/>
      <c r="X180" s="1"/>
      <c r="Y180" s="1"/>
    </row>
    <row r="181">
      <c r="A181" s="8">
        <f t="shared" ref="A181:A189" si="130">A180+1</f>
        <v>69</v>
      </c>
      <c r="B181" s="16" t="s">
        <v>14</v>
      </c>
      <c r="C181" s="8">
        <v>11.0</v>
      </c>
      <c r="D181" s="9"/>
      <c r="E181" s="55" t="s">
        <v>125</v>
      </c>
      <c r="F181" s="12">
        <v>6.603685E8</v>
      </c>
      <c r="G181" s="12">
        <v>5.4503525E8</v>
      </c>
      <c r="H181" s="13">
        <f t="shared" si="128"/>
        <v>115333250</v>
      </c>
      <c r="I181" s="14">
        <f t="shared" si="129"/>
        <v>0.1746498357</v>
      </c>
      <c r="J181" s="18"/>
      <c r="K181" s="1"/>
      <c r="L181" s="1"/>
      <c r="M181" s="1"/>
      <c r="N181" s="50"/>
      <c r="O181" s="1"/>
      <c r="P181" s="35"/>
      <c r="Q181" s="1"/>
      <c r="R181" s="1"/>
      <c r="S181" s="21"/>
      <c r="T181" s="2"/>
      <c r="U181" s="2"/>
      <c r="V181" s="2"/>
      <c r="W181" s="1"/>
      <c r="X181" s="1"/>
      <c r="Y181" s="1"/>
    </row>
    <row r="182">
      <c r="A182" s="8">
        <f t="shared" si="130"/>
        <v>70</v>
      </c>
      <c r="B182" s="16" t="s">
        <v>14</v>
      </c>
      <c r="C182" s="8">
        <v>11.0</v>
      </c>
      <c r="D182" s="9"/>
      <c r="E182" s="55" t="s">
        <v>126</v>
      </c>
      <c r="F182" s="12">
        <v>6050000.0</v>
      </c>
      <c r="G182" s="12">
        <v>3450000.0</v>
      </c>
      <c r="H182" s="13">
        <f t="shared" si="128"/>
        <v>2600000</v>
      </c>
      <c r="I182" s="14">
        <f t="shared" si="129"/>
        <v>0.4297520661</v>
      </c>
      <c r="J182" s="18"/>
      <c r="K182" s="1"/>
      <c r="L182" s="1"/>
      <c r="M182" s="1"/>
      <c r="N182" s="50"/>
      <c r="O182" s="1"/>
      <c r="P182" s="35"/>
      <c r="Q182" s="1"/>
      <c r="R182" s="1"/>
      <c r="S182" s="75"/>
      <c r="T182" s="2"/>
      <c r="U182" s="21"/>
      <c r="V182" s="2"/>
      <c r="W182" s="1"/>
      <c r="X182" s="1"/>
      <c r="Y182" s="1"/>
    </row>
    <row r="183">
      <c r="A183" s="8">
        <f t="shared" si="130"/>
        <v>71</v>
      </c>
      <c r="B183" s="16" t="s">
        <v>14</v>
      </c>
      <c r="C183" s="16">
        <v>11.0</v>
      </c>
      <c r="D183" s="9"/>
      <c r="E183" s="55" t="s">
        <v>127</v>
      </c>
      <c r="F183" s="12">
        <v>6050000.0</v>
      </c>
      <c r="G183" s="12">
        <v>3450000.0</v>
      </c>
      <c r="H183" s="13">
        <f t="shared" si="128"/>
        <v>2600000</v>
      </c>
      <c r="I183" s="14">
        <f t="shared" si="129"/>
        <v>0.4297520661</v>
      </c>
      <c r="J183" s="18"/>
      <c r="K183" s="1"/>
      <c r="L183" s="1"/>
      <c r="M183" s="1"/>
      <c r="N183" s="50"/>
      <c r="O183" s="1"/>
      <c r="P183" s="35"/>
      <c r="Q183" s="1"/>
      <c r="R183" s="1"/>
      <c r="S183" s="2"/>
      <c r="T183" s="2"/>
      <c r="U183" s="2"/>
      <c r="V183" s="2"/>
      <c r="W183" s="3"/>
      <c r="X183" s="1"/>
      <c r="Y183" s="1"/>
    </row>
    <row r="184">
      <c r="A184" s="8">
        <f t="shared" si="130"/>
        <v>72</v>
      </c>
      <c r="B184" s="16" t="s">
        <v>40</v>
      </c>
      <c r="C184" s="8">
        <v>11.0</v>
      </c>
      <c r="D184" s="15"/>
      <c r="E184" s="36" t="s">
        <v>128</v>
      </c>
      <c r="F184" s="12">
        <v>8.455975E8</v>
      </c>
      <c r="G184" s="12">
        <v>7.176371E8</v>
      </c>
      <c r="H184" s="12">
        <f t="shared" si="128"/>
        <v>127960400</v>
      </c>
      <c r="I184" s="14">
        <f t="shared" si="129"/>
        <v>0.1513254237</v>
      </c>
      <c r="J184" s="18"/>
      <c r="K184" s="1"/>
      <c r="L184" s="1"/>
      <c r="M184" s="1"/>
      <c r="N184" s="1"/>
      <c r="O184" s="1"/>
      <c r="P184" s="35"/>
      <c r="Q184" s="1"/>
      <c r="R184" s="1"/>
      <c r="S184" s="21"/>
      <c r="T184" s="2"/>
      <c r="U184" s="21"/>
      <c r="V184" s="43"/>
      <c r="W184" s="1"/>
      <c r="X184" s="1"/>
      <c r="Y184" s="1"/>
    </row>
    <row r="185">
      <c r="A185" s="8">
        <f t="shared" si="130"/>
        <v>73</v>
      </c>
      <c r="B185" s="16" t="s">
        <v>40</v>
      </c>
      <c r="C185" s="8">
        <v>11.0</v>
      </c>
      <c r="D185" s="15"/>
      <c r="E185" s="36" t="s">
        <v>129</v>
      </c>
      <c r="F185" s="11">
        <v>7.096375E8</v>
      </c>
      <c r="G185" s="11">
        <v>6.143451E8</v>
      </c>
      <c r="H185" s="12">
        <f t="shared" si="128"/>
        <v>95292400</v>
      </c>
      <c r="I185" s="14">
        <f t="shared" si="129"/>
        <v>0.134283208</v>
      </c>
      <c r="J185" s="18"/>
      <c r="K185" s="1"/>
      <c r="L185" s="1"/>
      <c r="M185" s="1"/>
      <c r="N185" s="1"/>
      <c r="O185" s="1"/>
      <c r="P185" s="35"/>
      <c r="Q185" s="1"/>
      <c r="R185" s="1"/>
      <c r="S185" s="2"/>
      <c r="T185" s="2"/>
      <c r="U185" s="2"/>
      <c r="V185" s="2"/>
      <c r="W185" s="1"/>
      <c r="X185" s="1"/>
      <c r="Y185" s="1"/>
    </row>
    <row r="186">
      <c r="A186" s="8">
        <f t="shared" si="130"/>
        <v>74</v>
      </c>
      <c r="B186" s="16" t="s">
        <v>40</v>
      </c>
      <c r="C186" s="8">
        <v>11.0</v>
      </c>
      <c r="D186" s="36"/>
      <c r="E186" s="36" t="s">
        <v>130</v>
      </c>
      <c r="F186" s="11">
        <v>5.395335E8</v>
      </c>
      <c r="G186" s="11">
        <v>4.5423525E8</v>
      </c>
      <c r="H186" s="12">
        <f t="shared" si="128"/>
        <v>85298250</v>
      </c>
      <c r="I186" s="14">
        <f t="shared" si="129"/>
        <v>0.1580962999</v>
      </c>
      <c r="J186" s="18"/>
      <c r="K186" s="1"/>
      <c r="L186" s="1"/>
      <c r="M186" s="1"/>
      <c r="N186" s="1"/>
      <c r="O186" s="1"/>
      <c r="P186" s="35"/>
      <c r="Q186" s="1"/>
      <c r="R186" s="1"/>
      <c r="S186" s="21"/>
      <c r="T186" s="81"/>
      <c r="U186" s="21"/>
      <c r="V186" s="81"/>
      <c r="W186" s="1"/>
      <c r="X186" s="1"/>
      <c r="Y186" s="1"/>
    </row>
    <row r="187">
      <c r="A187" s="8">
        <f t="shared" si="130"/>
        <v>75</v>
      </c>
      <c r="B187" s="16" t="s">
        <v>14</v>
      </c>
      <c r="C187" s="16">
        <v>11.0</v>
      </c>
      <c r="D187" s="9" t="s">
        <v>15</v>
      </c>
      <c r="E187" s="82" t="s">
        <v>131</v>
      </c>
      <c r="F187" s="83">
        <v>2.56398264E9</v>
      </c>
      <c r="G187" s="84">
        <v>1.922166479E9</v>
      </c>
      <c r="H187" s="13">
        <f t="shared" si="128"/>
        <v>641816161</v>
      </c>
      <c r="I187" s="14">
        <f t="shared" si="129"/>
        <v>0.2503200104</v>
      </c>
      <c r="J187" s="18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8">
        <f t="shared" si="130"/>
        <v>76</v>
      </c>
      <c r="B188" s="8"/>
      <c r="C188" s="8">
        <v>11.0</v>
      </c>
      <c r="D188" s="9" t="s">
        <v>132</v>
      </c>
      <c r="E188" s="82" t="s">
        <v>133</v>
      </c>
      <c r="F188" s="83">
        <v>3.4E8</v>
      </c>
      <c r="G188" s="84">
        <v>2.6E8</v>
      </c>
      <c r="H188" s="13"/>
      <c r="I188" s="14">
        <f t="shared" si="129"/>
        <v>0</v>
      </c>
      <c r="J188" s="18"/>
      <c r="K188" s="1"/>
      <c r="L188" s="1"/>
      <c r="M188" s="1"/>
      <c r="N188" s="1"/>
      <c r="O188" s="1"/>
      <c r="P188" s="35"/>
      <c r="Q188" s="1"/>
      <c r="R188" s="1"/>
      <c r="S188" s="21"/>
      <c r="T188" s="2"/>
      <c r="U188" s="75"/>
      <c r="V188" s="2"/>
      <c r="W188" s="1"/>
      <c r="X188" s="1"/>
      <c r="Y188" s="1"/>
    </row>
    <row r="189">
      <c r="A189" s="8">
        <f t="shared" si="130"/>
        <v>77</v>
      </c>
      <c r="B189" s="8"/>
      <c r="C189" s="8">
        <v>11.0</v>
      </c>
      <c r="D189" s="15"/>
      <c r="E189" s="15"/>
      <c r="F189" s="13">
        <v>0.0</v>
      </c>
      <c r="G189" s="85"/>
      <c r="H189" s="13">
        <f>F189-G189</f>
        <v>0</v>
      </c>
      <c r="I189" s="14">
        <f t="shared" si="129"/>
        <v>0</v>
      </c>
      <c r="J189" s="18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5"/>
      <c r="B190" s="15"/>
      <c r="C190" s="15"/>
      <c r="D190" s="15"/>
      <c r="E190" s="15"/>
      <c r="F190" s="85"/>
      <c r="G190" s="85"/>
      <c r="H190" s="85"/>
      <c r="I190" s="86"/>
      <c r="J190" s="1"/>
      <c r="K190" s="1"/>
      <c r="L190" s="1"/>
      <c r="M190" s="1"/>
      <c r="N190" s="1"/>
      <c r="O190" s="1"/>
      <c r="P190" s="1"/>
      <c r="Q190" s="1"/>
      <c r="R190" s="1"/>
      <c r="S190" s="75"/>
      <c r="T190" s="2"/>
      <c r="U190" s="75"/>
      <c r="V190" s="2"/>
      <c r="W190" s="1"/>
      <c r="X190" s="1"/>
      <c r="Y190" s="1"/>
    </row>
    <row r="191">
      <c r="A191" s="1"/>
      <c r="B191" s="1"/>
      <c r="C191" s="1"/>
      <c r="D191" s="22" t="s">
        <v>134</v>
      </c>
      <c r="E191" s="23" t="s">
        <v>14</v>
      </c>
      <c r="F191" s="13">
        <f t="shared" ref="F191:F192" si="131">SUMIFS($F$180:$F$190,$B$180:$B$190,E191)</f>
        <v>3319210140</v>
      </c>
      <c r="G191" s="13">
        <f t="shared" ref="G191:G192" si="132">SUMIFS($G$180:$G$190,$B$180:$B$190,E191)</f>
        <v>2546101729</v>
      </c>
      <c r="H191" s="13">
        <f t="shared" ref="H191:H192" si="133">SUMIFS($H$180:$H$190,$B$180:$B$190,E191)</f>
        <v>773108411</v>
      </c>
      <c r="I191" s="14">
        <f t="shared" ref="I191:I196" si="134">IFERROR(H191/F191,0)</f>
        <v>0.232919393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59"/>
      <c r="E192" s="23" t="s">
        <v>40</v>
      </c>
      <c r="F192" s="13">
        <f t="shared" si="131"/>
        <v>2094768500</v>
      </c>
      <c r="G192" s="13">
        <f t="shared" si="132"/>
        <v>1786217450</v>
      </c>
      <c r="H192" s="13">
        <f t="shared" si="133"/>
        <v>308551050</v>
      </c>
      <c r="I192" s="14">
        <f t="shared" si="134"/>
        <v>0.1472960139</v>
      </c>
      <c r="J192" s="24" t="s">
        <v>41</v>
      </c>
      <c r="K192" s="25"/>
      <c r="L192" s="25"/>
      <c r="M192" s="25"/>
      <c r="N192" s="25"/>
      <c r="O192" s="26"/>
      <c r="P192" s="54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60"/>
      <c r="E193" s="27" t="s">
        <v>42</v>
      </c>
      <c r="F193" s="28">
        <f t="shared" ref="F193:H193" si="135">SUM(F191:F192)</f>
        <v>5413978640</v>
      </c>
      <c r="G193" s="28">
        <f t="shared" si="135"/>
        <v>4332319179</v>
      </c>
      <c r="H193" s="28">
        <f t="shared" si="135"/>
        <v>1081659461</v>
      </c>
      <c r="I193" s="30">
        <f t="shared" si="134"/>
        <v>0.1997901235</v>
      </c>
      <c r="J193" s="31">
        <f>SUM(F193:F195)</f>
        <v>5413978640</v>
      </c>
      <c r="K193" s="25"/>
      <c r="L193" s="25"/>
      <c r="M193" s="26"/>
      <c r="N193" s="32">
        <f>SUM(H193:H195)</f>
        <v>1081659461</v>
      </c>
      <c r="O193" s="30">
        <f>SUM(N193/J193)</f>
        <v>0.1997901235</v>
      </c>
      <c r="P193" s="45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60"/>
      <c r="E194" s="23" t="s">
        <v>43</v>
      </c>
      <c r="F194" s="13">
        <f t="shared" ref="F194:F195" si="136">SUMIFS($F$180:$F$190,$B$180:$B$190,E194)</f>
        <v>0</v>
      </c>
      <c r="G194" s="13">
        <f t="shared" ref="G194:G195" si="137">SUMIFS($G$180:$G$190,$B$180:$B$190,E194)</f>
        <v>0</v>
      </c>
      <c r="H194" s="13">
        <f t="shared" ref="H194:H195" si="138">SUMIFS($H$180:$H$190,$B$180:$B$190,E194)</f>
        <v>0</v>
      </c>
      <c r="I194" s="14">
        <f t="shared" si="134"/>
        <v>0</v>
      </c>
      <c r="J194" s="33" t="s">
        <v>44</v>
      </c>
      <c r="K194" s="25"/>
      <c r="L194" s="25"/>
      <c r="M194" s="25"/>
      <c r="N194" s="25"/>
      <c r="O194" s="26"/>
      <c r="P194" s="45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60"/>
      <c r="E195" s="23" t="s">
        <v>45</v>
      </c>
      <c r="F195" s="13">
        <f t="shared" si="136"/>
        <v>0</v>
      </c>
      <c r="G195" s="13">
        <f t="shared" si="137"/>
        <v>0</v>
      </c>
      <c r="H195" s="13">
        <f t="shared" si="138"/>
        <v>0</v>
      </c>
      <c r="I195" s="14">
        <f t="shared" si="134"/>
        <v>0</v>
      </c>
      <c r="J195" s="34">
        <f>SUM(F193-J193)</f>
        <v>0</v>
      </c>
      <c r="K195" s="25"/>
      <c r="L195" s="25"/>
      <c r="M195" s="26"/>
      <c r="N195" s="28">
        <f t="shared" ref="N195:O195" si="139">SUM(H193-N193)</f>
        <v>0</v>
      </c>
      <c r="O195" s="30">
        <f t="shared" si="139"/>
        <v>0</v>
      </c>
      <c r="P195" s="45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46">
        <f>SUM(F193:F195)</f>
        <v>5413978640</v>
      </c>
      <c r="G196" s="2"/>
      <c r="H196" s="46">
        <f>SUM(H193:H195)</f>
        <v>1081659461</v>
      </c>
      <c r="I196" s="47">
        <f t="shared" si="134"/>
        <v>0.1997901235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35"/>
      <c r="E197" s="35"/>
      <c r="F197" s="2"/>
      <c r="G197" s="2"/>
      <c r="H197" s="2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21"/>
      <c r="T197" s="2"/>
      <c r="U197" s="21"/>
      <c r="V197" s="43"/>
      <c r="W197" s="1"/>
      <c r="X197" s="1"/>
      <c r="Y197" s="1"/>
    </row>
    <row r="198">
      <c r="A198" s="8">
        <f>A189+1</f>
        <v>78</v>
      </c>
      <c r="B198" s="8"/>
      <c r="C198" s="8">
        <v>12.0</v>
      </c>
      <c r="D198" s="82"/>
      <c r="E198" s="82"/>
      <c r="F198" s="83"/>
      <c r="G198" s="84"/>
      <c r="H198" s="13"/>
      <c r="I198" s="14">
        <f t="shared" ref="I198:I205" si="140">IFERROR(H198/F198,0)</f>
        <v>0</v>
      </c>
      <c r="J198" s="18"/>
      <c r="K198" s="1"/>
      <c r="L198" s="1"/>
      <c r="M198" s="1"/>
      <c r="N198" s="50"/>
      <c r="O198" s="1"/>
      <c r="P198" s="1"/>
      <c r="Q198" s="1"/>
      <c r="R198" s="1"/>
      <c r="S198" s="21"/>
      <c r="T198" s="2"/>
      <c r="U198" s="21"/>
      <c r="V198" s="43"/>
      <c r="W198" s="1"/>
      <c r="X198" s="1"/>
      <c r="Y198" s="1"/>
    </row>
    <row r="199">
      <c r="A199" s="8">
        <f t="shared" ref="A199:A205" si="141">A198+1</f>
        <v>79</v>
      </c>
      <c r="B199" s="87"/>
      <c r="C199" s="16">
        <v>12.0</v>
      </c>
      <c r="D199" s="82"/>
      <c r="E199" s="82"/>
      <c r="F199" s="83"/>
      <c r="G199" s="84"/>
      <c r="H199" s="13"/>
      <c r="I199" s="14">
        <f t="shared" si="140"/>
        <v>0</v>
      </c>
      <c r="J199" s="18"/>
      <c r="K199" s="1"/>
      <c r="L199" s="1"/>
      <c r="M199" s="1"/>
      <c r="N199" s="50"/>
      <c r="O199" s="1"/>
      <c r="P199" s="1"/>
      <c r="Q199" s="1"/>
      <c r="R199" s="1"/>
      <c r="S199" s="2"/>
      <c r="T199" s="2"/>
      <c r="U199" s="2"/>
      <c r="V199" s="2"/>
      <c r="W199" s="1"/>
      <c r="X199" s="1"/>
      <c r="Y199" s="1"/>
    </row>
    <row r="200">
      <c r="A200" s="8">
        <f t="shared" si="141"/>
        <v>80</v>
      </c>
      <c r="B200" s="8"/>
      <c r="C200" s="8">
        <v>12.0</v>
      </c>
      <c r="D200" s="82"/>
      <c r="E200" s="82"/>
      <c r="F200" s="83"/>
      <c r="G200" s="84"/>
      <c r="H200" s="13"/>
      <c r="I200" s="14">
        <f t="shared" si="140"/>
        <v>0</v>
      </c>
      <c r="J200" s="18"/>
      <c r="K200" s="1"/>
      <c r="L200" s="1"/>
      <c r="M200" s="1"/>
      <c r="N200" s="50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8">
        <f t="shared" si="141"/>
        <v>81</v>
      </c>
      <c r="B201" s="8"/>
      <c r="C201" s="8">
        <v>12.0</v>
      </c>
      <c r="D201" s="15"/>
      <c r="E201" s="15"/>
      <c r="F201" s="13">
        <v>0.0</v>
      </c>
      <c r="G201" s="85"/>
      <c r="H201" s="13">
        <f t="shared" ref="H201:H205" si="142">F201-G201</f>
        <v>0</v>
      </c>
      <c r="I201" s="14">
        <f t="shared" si="140"/>
        <v>0</v>
      </c>
      <c r="J201" s="18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8">
        <f t="shared" si="141"/>
        <v>82</v>
      </c>
      <c r="B202" s="8"/>
      <c r="C202" s="8">
        <v>12.0</v>
      </c>
      <c r="D202" s="15"/>
      <c r="E202" s="15"/>
      <c r="F202" s="13">
        <v>0.0</v>
      </c>
      <c r="G202" s="85"/>
      <c r="H202" s="13">
        <f t="shared" si="142"/>
        <v>0</v>
      </c>
      <c r="I202" s="14">
        <f t="shared" si="140"/>
        <v>0</v>
      </c>
      <c r="J202" s="18"/>
      <c r="K202" s="1"/>
      <c r="L202" s="1"/>
      <c r="M202" s="1"/>
      <c r="N202" s="1"/>
      <c r="O202" s="1"/>
      <c r="P202" s="1"/>
      <c r="Q202" s="1"/>
      <c r="R202" s="1"/>
      <c r="S202" s="2"/>
      <c r="T202" s="2"/>
      <c r="U202" s="2"/>
      <c r="V202" s="2"/>
      <c r="W202" s="1"/>
      <c r="X202" s="1"/>
      <c r="Y202" s="1"/>
    </row>
    <row r="203">
      <c r="A203" s="8">
        <f t="shared" si="141"/>
        <v>83</v>
      </c>
      <c r="B203" s="87"/>
      <c r="C203" s="16">
        <v>12.0</v>
      </c>
      <c r="D203" s="36"/>
      <c r="E203" s="36"/>
      <c r="F203" s="13">
        <v>0.0</v>
      </c>
      <c r="G203" s="85"/>
      <c r="H203" s="13">
        <f t="shared" si="142"/>
        <v>0</v>
      </c>
      <c r="I203" s="14">
        <f t="shared" si="140"/>
        <v>0</v>
      </c>
      <c r="J203" s="18"/>
      <c r="K203" s="1"/>
      <c r="L203" s="1"/>
      <c r="M203" s="1"/>
      <c r="N203" s="1"/>
      <c r="O203" s="1"/>
      <c r="P203" s="35"/>
      <c r="Q203" s="1"/>
      <c r="R203" s="1"/>
      <c r="S203" s="2"/>
      <c r="T203" s="2"/>
      <c r="U203" s="2"/>
      <c r="V203" s="2"/>
      <c r="W203" s="1"/>
      <c r="X203" s="1"/>
      <c r="Y203" s="1"/>
    </row>
    <row r="204">
      <c r="A204" s="8">
        <f t="shared" si="141"/>
        <v>84</v>
      </c>
      <c r="B204" s="87"/>
      <c r="C204" s="16">
        <v>12.0</v>
      </c>
      <c r="D204" s="36"/>
      <c r="E204" s="36"/>
      <c r="F204" s="13">
        <v>0.0</v>
      </c>
      <c r="G204" s="85"/>
      <c r="H204" s="13">
        <f t="shared" si="142"/>
        <v>0</v>
      </c>
      <c r="I204" s="14">
        <f t="shared" si="140"/>
        <v>0</v>
      </c>
      <c r="J204" s="18"/>
      <c r="K204" s="1"/>
      <c r="L204" s="1"/>
      <c r="M204" s="1"/>
      <c r="N204" s="1"/>
      <c r="O204" s="1"/>
      <c r="P204" s="35"/>
      <c r="Q204" s="1"/>
      <c r="R204" s="1"/>
      <c r="S204" s="21"/>
      <c r="T204" s="2"/>
      <c r="U204" s="21"/>
      <c r="V204" s="2"/>
      <c r="W204" s="1"/>
      <c r="X204" s="1"/>
      <c r="Y204" s="1"/>
    </row>
    <row r="205">
      <c r="A205" s="8">
        <f t="shared" si="141"/>
        <v>85</v>
      </c>
      <c r="B205" s="8"/>
      <c r="C205" s="16">
        <v>12.0</v>
      </c>
      <c r="D205" s="15"/>
      <c r="E205" s="36"/>
      <c r="F205" s="13">
        <v>0.0</v>
      </c>
      <c r="G205" s="85"/>
      <c r="H205" s="13">
        <f t="shared" si="142"/>
        <v>0</v>
      </c>
      <c r="I205" s="14">
        <f t="shared" si="140"/>
        <v>0</v>
      </c>
      <c r="J205" s="18"/>
      <c r="K205" s="1"/>
      <c r="L205" s="1"/>
      <c r="M205" s="1"/>
      <c r="N205" s="1"/>
      <c r="O205" s="1"/>
      <c r="P205" s="35"/>
      <c r="Q205" s="1"/>
      <c r="R205" s="1"/>
      <c r="S205" s="21"/>
      <c r="T205" s="2"/>
      <c r="U205" s="21"/>
      <c r="V205" s="2"/>
      <c r="W205" s="1"/>
      <c r="X205" s="1"/>
      <c r="Y205" s="1"/>
    </row>
    <row r="206">
      <c r="A206" s="15"/>
      <c r="B206" s="15"/>
      <c r="C206" s="15"/>
      <c r="D206" s="15"/>
      <c r="E206" s="36"/>
      <c r="F206" s="85"/>
      <c r="G206" s="85"/>
      <c r="H206" s="85"/>
      <c r="I206" s="8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22" t="s">
        <v>135</v>
      </c>
      <c r="E207" s="23" t="s">
        <v>14</v>
      </c>
      <c r="F207" s="13">
        <f>SUMIFS($F$198:$F$206,$B$198:$B$206,E207)</f>
        <v>0</v>
      </c>
      <c r="G207" s="13">
        <f t="shared" ref="G207:G208" si="143">SUMIFS($G$198:$G$206,$B$198:$B$206,E207)</f>
        <v>0</v>
      </c>
      <c r="H207" s="13">
        <f>SUMIFS($H$198:$H$206,$B$198:$B$206,E207)</f>
        <v>0</v>
      </c>
      <c r="I207" s="14">
        <f t="shared" ref="I207:I217" si="144">IFERROR(H207/F207,0)</f>
        <v>0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23" t="s">
        <v>40</v>
      </c>
      <c r="F208" s="13">
        <f>SUMIFS($F$198:$F$205,$B$198:$B$205,E208)</f>
        <v>0</v>
      </c>
      <c r="G208" s="13">
        <f t="shared" si="143"/>
        <v>0</v>
      </c>
      <c r="H208" s="13">
        <f>SUMIFS($H$198:$H$205,$B$198:$B$205,E208)</f>
        <v>0</v>
      </c>
      <c r="I208" s="14">
        <f t="shared" si="144"/>
        <v>0</v>
      </c>
      <c r="J208" s="24" t="s">
        <v>41</v>
      </c>
      <c r="K208" s="25"/>
      <c r="L208" s="25"/>
      <c r="M208" s="25"/>
      <c r="N208" s="25"/>
      <c r="O208" s="26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27" t="s">
        <v>42</v>
      </c>
      <c r="F209" s="28">
        <f t="shared" ref="F209:H209" si="145">SUM(F207:F208)</f>
        <v>0</v>
      </c>
      <c r="G209" s="28">
        <f t="shared" si="145"/>
        <v>0</v>
      </c>
      <c r="H209" s="28">
        <f t="shared" si="145"/>
        <v>0</v>
      </c>
      <c r="I209" s="30">
        <f t="shared" si="144"/>
        <v>0</v>
      </c>
      <c r="J209" s="31">
        <f>SUM(F209:F211)</f>
        <v>0</v>
      </c>
      <c r="K209" s="25"/>
      <c r="L209" s="25"/>
      <c r="M209" s="26"/>
      <c r="N209" s="32">
        <f>SUM(H209:H211)</f>
        <v>0</v>
      </c>
      <c r="O209" s="30" t="str">
        <f>SUM(N209/J209)</f>
        <v>#DIV/0!</v>
      </c>
      <c r="P209" s="1"/>
      <c r="Q209" s="22">
        <v>1.22204544E8</v>
      </c>
      <c r="R209" s="22">
        <v>2.3366714E7</v>
      </c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23" t="s">
        <v>43</v>
      </c>
      <c r="F210" s="13">
        <f t="shared" ref="F210:F211" si="146">SUMIFS($F$198:$F$205,$B$198:$B$205,E210)</f>
        <v>0</v>
      </c>
      <c r="G210" s="13">
        <f t="shared" ref="G210:G211" si="147">SUMIFS($G$198:$G$206,$B$198:$B$206,E210)</f>
        <v>0</v>
      </c>
      <c r="H210" s="13">
        <f t="shared" ref="H210:H211" si="148">SUMIFS($H$198:$H$205,$B$198:$B$205,E210)</f>
        <v>0</v>
      </c>
      <c r="I210" s="14">
        <f t="shared" si="144"/>
        <v>0</v>
      </c>
      <c r="J210" s="33" t="s">
        <v>44</v>
      </c>
      <c r="K210" s="25"/>
      <c r="L210" s="25"/>
      <c r="M210" s="25"/>
      <c r="N210" s="25"/>
      <c r="O210" s="26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23" t="s">
        <v>45</v>
      </c>
      <c r="F211" s="13">
        <f t="shared" si="146"/>
        <v>0</v>
      </c>
      <c r="G211" s="13">
        <f t="shared" si="147"/>
        <v>0</v>
      </c>
      <c r="H211" s="13">
        <f t="shared" si="148"/>
        <v>0</v>
      </c>
      <c r="I211" s="14">
        <f t="shared" si="144"/>
        <v>0</v>
      </c>
      <c r="J211" s="69">
        <f>SUM(F209-J209)</f>
        <v>0</v>
      </c>
      <c r="K211" s="25"/>
      <c r="L211" s="25"/>
      <c r="M211" s="26"/>
      <c r="N211" s="70">
        <f t="shared" ref="N211:O211" si="149">SUM(H209-N209)</f>
        <v>0</v>
      </c>
      <c r="O211" s="30" t="str">
        <f t="shared" si="149"/>
        <v>#DIV/0!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46">
        <f>SUM(F209:F211)</f>
        <v>0</v>
      </c>
      <c r="G212" s="2"/>
      <c r="H212" s="46">
        <f>SUM(H209:H211)</f>
        <v>0</v>
      </c>
      <c r="I212" s="47">
        <f t="shared" si="144"/>
        <v>0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22" t="s">
        <v>136</v>
      </c>
      <c r="E213" s="23" t="s">
        <v>14</v>
      </c>
      <c r="F213" s="13">
        <f t="shared" ref="F213:H213" si="150">SUM(F207+F191+F173)</f>
        <v>4306221220</v>
      </c>
      <c r="G213" s="13">
        <f t="shared" si="150"/>
        <v>3316761421</v>
      </c>
      <c r="H213" s="13">
        <f t="shared" si="150"/>
        <v>989459799</v>
      </c>
      <c r="I213" s="14">
        <f t="shared" si="144"/>
        <v>0.2297744933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23" t="s">
        <v>40</v>
      </c>
      <c r="F214" s="13">
        <f t="shared" ref="F214:H214" si="151">SUM(F208+F192+F174)</f>
        <v>2094768500</v>
      </c>
      <c r="G214" s="13">
        <f t="shared" si="151"/>
        <v>1786217450</v>
      </c>
      <c r="H214" s="13">
        <f t="shared" si="151"/>
        <v>308551050</v>
      </c>
      <c r="I214" s="14">
        <f t="shared" si="144"/>
        <v>0.1472960139</v>
      </c>
      <c r="J214" s="24" t="s">
        <v>41</v>
      </c>
      <c r="K214" s="25"/>
      <c r="L214" s="25"/>
      <c r="M214" s="25"/>
      <c r="N214" s="25"/>
      <c r="O214" s="26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27" t="s">
        <v>42</v>
      </c>
      <c r="F215" s="28">
        <f t="shared" ref="F215:H215" si="152">SUM(F213:F214)</f>
        <v>6400989720</v>
      </c>
      <c r="G215" s="28">
        <f t="shared" si="152"/>
        <v>5102978871</v>
      </c>
      <c r="H215" s="28">
        <f t="shared" si="152"/>
        <v>1298010849</v>
      </c>
      <c r="I215" s="30">
        <f t="shared" si="144"/>
        <v>0.2027828361</v>
      </c>
      <c r="J215" s="31">
        <f>SUM(F215:F217)</f>
        <v>6400989720</v>
      </c>
      <c r="K215" s="25"/>
      <c r="L215" s="25"/>
      <c r="M215" s="26"/>
      <c r="N215" s="32">
        <f>SUM(H215:H217)</f>
        <v>1298010849</v>
      </c>
      <c r="O215" s="30">
        <f>SUM(N215/J215)</f>
        <v>0.2027828361</v>
      </c>
      <c r="P215" s="1"/>
      <c r="Q215" s="22">
        <v>1.93328828E8</v>
      </c>
      <c r="R215" s="22">
        <v>3.7483649E7</v>
      </c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23" t="s">
        <v>43</v>
      </c>
      <c r="F216" s="13">
        <f t="shared" ref="F216:H216" si="153">SUM(F210+F194+F176)</f>
        <v>0</v>
      </c>
      <c r="G216" s="13">
        <f t="shared" si="153"/>
        <v>0</v>
      </c>
      <c r="H216" s="13">
        <f t="shared" si="153"/>
        <v>0</v>
      </c>
      <c r="I216" s="14">
        <f t="shared" si="144"/>
        <v>0</v>
      </c>
      <c r="J216" s="33" t="s">
        <v>44</v>
      </c>
      <c r="K216" s="25"/>
      <c r="L216" s="25"/>
      <c r="M216" s="25"/>
      <c r="N216" s="25"/>
      <c r="O216" s="26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23" t="s">
        <v>45</v>
      </c>
      <c r="F217" s="13">
        <f t="shared" ref="F217:H217" si="154">SUM(F211+F195+F177)</f>
        <v>0</v>
      </c>
      <c r="G217" s="13">
        <f t="shared" si="154"/>
        <v>0</v>
      </c>
      <c r="H217" s="13">
        <f t="shared" si="154"/>
        <v>0</v>
      </c>
      <c r="I217" s="14">
        <f t="shared" si="144"/>
        <v>0</v>
      </c>
      <c r="J217" s="69">
        <f>SUM(F215-J215)</f>
        <v>0</v>
      </c>
      <c r="K217" s="25"/>
      <c r="L217" s="25"/>
      <c r="M217" s="26"/>
      <c r="N217" s="70">
        <f t="shared" ref="N217:O217" si="155">SUM(H215-N215)</f>
        <v>0</v>
      </c>
      <c r="O217" s="30">
        <f t="shared" si="155"/>
        <v>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2"/>
      <c r="G218" s="2"/>
      <c r="H218" s="2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22" t="s">
        <v>137</v>
      </c>
      <c r="E219" s="23" t="s">
        <v>14</v>
      </c>
      <c r="F219" s="13">
        <f t="shared" ref="F219:H219" si="156">SUM(F213+F159)</f>
        <v>8193549840</v>
      </c>
      <c r="G219" s="13">
        <f t="shared" si="156"/>
        <v>6351320825</v>
      </c>
      <c r="H219" s="13">
        <f t="shared" si="156"/>
        <v>1842229015</v>
      </c>
      <c r="I219" s="14">
        <f t="shared" ref="I219:I223" si="158">IFERROR(H219/F219,0)</f>
        <v>0.2248389344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23" t="s">
        <v>40</v>
      </c>
      <c r="F220" s="13">
        <f t="shared" ref="F220:H220" si="157">SUM(F214+F160)</f>
        <v>2094768500</v>
      </c>
      <c r="G220" s="13">
        <f t="shared" si="157"/>
        <v>1786217450</v>
      </c>
      <c r="H220" s="13">
        <f t="shared" si="157"/>
        <v>308551050</v>
      </c>
      <c r="I220" s="14">
        <f t="shared" si="158"/>
        <v>0.1472960139</v>
      </c>
      <c r="J220" s="24" t="s">
        <v>41</v>
      </c>
      <c r="K220" s="25"/>
      <c r="L220" s="25"/>
      <c r="M220" s="25"/>
      <c r="N220" s="25"/>
      <c r="O220" s="26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27" t="s">
        <v>42</v>
      </c>
      <c r="F221" s="28">
        <f t="shared" ref="F221:H221" si="159">SUM(F219:F220)</f>
        <v>10288318340</v>
      </c>
      <c r="G221" s="28">
        <f t="shared" si="159"/>
        <v>8137538275</v>
      </c>
      <c r="H221" s="28">
        <f t="shared" si="159"/>
        <v>2150780065</v>
      </c>
      <c r="I221" s="30">
        <f t="shared" si="158"/>
        <v>0.2090506917</v>
      </c>
      <c r="J221" s="31">
        <f>SUM(F221:F223)</f>
        <v>10288318340</v>
      </c>
      <c r="K221" s="25"/>
      <c r="L221" s="25"/>
      <c r="M221" s="26"/>
      <c r="N221" s="32">
        <f>SUM(H221:H223)</f>
        <v>2150780065</v>
      </c>
      <c r="O221" s="30">
        <f>SUM(N221/J221)</f>
        <v>0.2090506917</v>
      </c>
      <c r="P221" s="1"/>
      <c r="Q221" s="22">
        <v>4.28768648E8</v>
      </c>
      <c r="R221" s="22">
        <v>8.1094686E7</v>
      </c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23" t="s">
        <v>43</v>
      </c>
      <c r="F222" s="13">
        <f t="shared" ref="F222:H222" si="160">SUM(F216+F162)</f>
        <v>0</v>
      </c>
      <c r="G222" s="13">
        <f t="shared" si="160"/>
        <v>0</v>
      </c>
      <c r="H222" s="13">
        <f t="shared" si="160"/>
        <v>0</v>
      </c>
      <c r="I222" s="14">
        <f t="shared" si="158"/>
        <v>0</v>
      </c>
      <c r="J222" s="33" t="s">
        <v>44</v>
      </c>
      <c r="K222" s="25"/>
      <c r="L222" s="25"/>
      <c r="M222" s="25"/>
      <c r="N222" s="25"/>
      <c r="O222" s="26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23" t="s">
        <v>45</v>
      </c>
      <c r="F223" s="13">
        <f t="shared" ref="F223:H223" si="161">SUM(F217+F163)</f>
        <v>0</v>
      </c>
      <c r="G223" s="13">
        <f t="shared" si="161"/>
        <v>0</v>
      </c>
      <c r="H223" s="13">
        <f t="shared" si="161"/>
        <v>0</v>
      </c>
      <c r="I223" s="14">
        <f t="shared" si="158"/>
        <v>0</v>
      </c>
      <c r="J223" s="69">
        <f>SUM(F221-J221)</f>
        <v>0</v>
      </c>
      <c r="K223" s="25"/>
      <c r="L223" s="25"/>
      <c r="M223" s="26"/>
      <c r="N223" s="70">
        <f t="shared" ref="N223:O223" si="162">SUM(H221-N221)</f>
        <v>0</v>
      </c>
      <c r="O223" s="30">
        <f t="shared" si="162"/>
        <v>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2">
        <f t="shared" ref="F224:H224" si="163">SUM(F221:F223)</f>
        <v>10288318340</v>
      </c>
      <c r="G224" s="2">
        <f t="shared" si="163"/>
        <v>8137538275</v>
      </c>
      <c r="H224" s="2">
        <f t="shared" si="163"/>
        <v>2150780065</v>
      </c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2"/>
      <c r="G225" s="2"/>
      <c r="H225" s="2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2" t="s">
        <v>138</v>
      </c>
      <c r="E226" s="23" t="s">
        <v>14</v>
      </c>
      <c r="F226" s="13">
        <f t="shared" ref="F226:H226" si="164">SUM(F219+F103)</f>
        <v>17241222935</v>
      </c>
      <c r="G226" s="13">
        <f t="shared" si="164"/>
        <v>13235427041</v>
      </c>
      <c r="H226" s="13">
        <f t="shared" si="164"/>
        <v>4005795894</v>
      </c>
      <c r="I226" s="14">
        <f t="shared" ref="I226:I230" si="165">IFERROR(H226/F226,0)</f>
        <v>0.2323382691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23" t="s">
        <v>40</v>
      </c>
      <c r="F227" s="13">
        <f>SUM(F220+F104)</f>
        <v>2094768500</v>
      </c>
      <c r="G227" s="13">
        <f>G220+G104</f>
        <v>1786217450</v>
      </c>
      <c r="H227" s="13">
        <f>SUM(H220+H104)</f>
        <v>308551050</v>
      </c>
      <c r="I227" s="14">
        <f t="shared" si="165"/>
        <v>0.1472960139</v>
      </c>
      <c r="J227" s="24" t="s">
        <v>41</v>
      </c>
      <c r="K227" s="25"/>
      <c r="L227" s="25"/>
      <c r="M227" s="25"/>
      <c r="N227" s="25"/>
      <c r="O227" s="26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27" t="s">
        <v>42</v>
      </c>
      <c r="F228" s="28">
        <f t="shared" ref="F228:H228" si="166">SUM(F226:F227)</f>
        <v>19335991435</v>
      </c>
      <c r="G228" s="28">
        <f t="shared" si="166"/>
        <v>15021644491</v>
      </c>
      <c r="H228" s="28">
        <f t="shared" si="166"/>
        <v>4314346944</v>
      </c>
      <c r="I228" s="30">
        <f t="shared" si="165"/>
        <v>0.2231251994</v>
      </c>
      <c r="J228" s="31">
        <f>SUM(F228:F230)</f>
        <v>19335991435</v>
      </c>
      <c r="K228" s="25"/>
      <c r="L228" s="25"/>
      <c r="M228" s="26"/>
      <c r="N228" s="32">
        <f>SUM(H228:H230)</f>
        <v>4314346944</v>
      </c>
      <c r="O228" s="30">
        <f>SUM(N228/J228)</f>
        <v>0.2231251994</v>
      </c>
      <c r="P228" s="1"/>
      <c r="Q228" s="22">
        <v>6.00137252E8</v>
      </c>
      <c r="R228" s="22">
        <v>1.1355212E8</v>
      </c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23" t="s">
        <v>43</v>
      </c>
      <c r="F229" s="13">
        <f t="shared" ref="F229:H229" si="167">SUM(F222+F106)</f>
        <v>0</v>
      </c>
      <c r="G229" s="13">
        <f t="shared" si="167"/>
        <v>0</v>
      </c>
      <c r="H229" s="13">
        <f t="shared" si="167"/>
        <v>0</v>
      </c>
      <c r="I229" s="14">
        <f t="shared" si="165"/>
        <v>0</v>
      </c>
      <c r="J229" s="33" t="s">
        <v>44</v>
      </c>
      <c r="K229" s="25"/>
      <c r="L229" s="25"/>
      <c r="M229" s="25"/>
      <c r="N229" s="25"/>
      <c r="O229" s="26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23" t="s">
        <v>45</v>
      </c>
      <c r="F230" s="13">
        <f t="shared" ref="F230:H230" si="168">SUM(F223+F107)</f>
        <v>0</v>
      </c>
      <c r="G230" s="13">
        <f t="shared" si="168"/>
        <v>0</v>
      </c>
      <c r="H230" s="13">
        <f t="shared" si="168"/>
        <v>0</v>
      </c>
      <c r="I230" s="14">
        <f t="shared" si="165"/>
        <v>0</v>
      </c>
      <c r="J230" s="69">
        <f>SUM(F228-J228)</f>
        <v>0</v>
      </c>
      <c r="K230" s="25"/>
      <c r="L230" s="25"/>
      <c r="M230" s="26"/>
      <c r="N230" s="70">
        <f t="shared" ref="N230:O230" si="169">SUM(H228-N228)</f>
        <v>0</v>
      </c>
      <c r="O230" s="30">
        <f t="shared" si="169"/>
        <v>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88">
        <f t="shared" ref="F231:H231" si="170">SUM(F228:F230)</f>
        <v>19335991435</v>
      </c>
      <c r="G231" s="89">
        <f t="shared" si="170"/>
        <v>15021644491</v>
      </c>
      <c r="H231" s="88">
        <f t="shared" si="170"/>
        <v>4314346944</v>
      </c>
      <c r="I231" s="4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2"/>
      <c r="G232" s="2"/>
      <c r="H232" s="2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2"/>
      <c r="G233" s="2"/>
      <c r="H233" s="2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2"/>
      <c r="G234" s="2"/>
      <c r="H234" s="2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27" t="s">
        <v>139</v>
      </c>
      <c r="F235" s="90" t="s">
        <v>140</v>
      </c>
      <c r="G235" s="91" t="s">
        <v>6</v>
      </c>
      <c r="H235" s="90" t="s">
        <v>141</v>
      </c>
      <c r="I235" s="92" t="s">
        <v>142</v>
      </c>
      <c r="J235" s="93"/>
      <c r="K235" s="25"/>
      <c r="L235" s="25"/>
      <c r="M235" s="26"/>
      <c r="N235" s="94"/>
      <c r="O235" s="94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23" t="s">
        <v>39</v>
      </c>
      <c r="F236" s="13">
        <f t="shared" ref="F236:H236" si="171">SUM(F22)</f>
        <v>3816197799</v>
      </c>
      <c r="G236" s="13">
        <f t="shared" si="171"/>
        <v>2844334388</v>
      </c>
      <c r="H236" s="13">
        <f t="shared" si="171"/>
        <v>971863411</v>
      </c>
      <c r="I236" s="14">
        <f t="shared" ref="I236:I253" si="173">IFERROR(H236/F236,0)</f>
        <v>0.2546679869</v>
      </c>
      <c r="J236" s="95"/>
      <c r="K236" s="25"/>
      <c r="L236" s="25"/>
      <c r="M236" s="26"/>
      <c r="N236" s="58"/>
      <c r="O236" s="96"/>
      <c r="P236" s="1"/>
      <c r="Q236" s="56">
        <v>5.9310916986E8</v>
      </c>
      <c r="R236" s="56">
        <v>4.13E8</v>
      </c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23" t="s">
        <v>53</v>
      </c>
      <c r="F237" s="13">
        <f t="shared" ref="F237:H237" si="172">SUM(F35)</f>
        <v>593567061</v>
      </c>
      <c r="G237" s="13">
        <f t="shared" si="172"/>
        <v>397225621</v>
      </c>
      <c r="H237" s="13">
        <f t="shared" si="172"/>
        <v>196341440</v>
      </c>
      <c r="I237" s="14">
        <f t="shared" si="173"/>
        <v>0.3307822366</v>
      </c>
      <c r="J237" s="95"/>
      <c r="K237" s="25"/>
      <c r="L237" s="25"/>
      <c r="M237" s="26"/>
      <c r="N237" s="58"/>
      <c r="O237" s="13"/>
      <c r="P237" s="1"/>
      <c r="Q237" s="56">
        <v>6.251091698599999E8</v>
      </c>
      <c r="R237" s="56">
        <v>4.13E8</v>
      </c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97" t="s">
        <v>56</v>
      </c>
      <c r="F238" s="98">
        <f t="shared" ref="F238:H238" si="174">SUM(F45)</f>
        <v>66764020</v>
      </c>
      <c r="G238" s="98">
        <f t="shared" si="174"/>
        <v>40217161</v>
      </c>
      <c r="H238" s="98">
        <f t="shared" si="174"/>
        <v>26546859</v>
      </c>
      <c r="I238" s="99">
        <f t="shared" si="173"/>
        <v>0.3976222372</v>
      </c>
      <c r="J238" s="100"/>
      <c r="K238" s="68"/>
      <c r="L238" s="68"/>
      <c r="M238" s="101"/>
      <c r="N238" s="58"/>
      <c r="O238" s="102"/>
      <c r="P238" s="1"/>
      <c r="Q238" s="56">
        <v>6.251091698599999E8</v>
      </c>
      <c r="R238" s="56">
        <v>4.23E8</v>
      </c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03" t="s">
        <v>57</v>
      </c>
      <c r="F239" s="104">
        <f t="shared" ref="F239:H239" si="175">SUM(F236:F238)</f>
        <v>4476528880</v>
      </c>
      <c r="G239" s="104">
        <f t="shared" si="175"/>
        <v>3281777170</v>
      </c>
      <c r="H239" s="104">
        <f t="shared" si="175"/>
        <v>1194751710</v>
      </c>
      <c r="I239" s="105">
        <f t="shared" si="173"/>
        <v>0.2668924388</v>
      </c>
      <c r="J239" s="106"/>
      <c r="K239" s="107"/>
      <c r="L239" s="107"/>
      <c r="M239" s="108"/>
      <c r="N239" s="109"/>
      <c r="O239" s="110"/>
      <c r="P239" s="1"/>
      <c r="Q239" s="111">
        <v>1.8433275095799997E9</v>
      </c>
      <c r="R239" s="111">
        <v>1.249E9</v>
      </c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12" t="s">
        <v>61</v>
      </c>
      <c r="F240" s="113">
        <f t="shared" ref="F240:H240" si="176">SUM(F62)</f>
        <v>1064977200</v>
      </c>
      <c r="G240" s="113">
        <f t="shared" si="176"/>
        <v>868595396</v>
      </c>
      <c r="H240" s="113">
        <f t="shared" si="176"/>
        <v>196381804</v>
      </c>
      <c r="I240" s="114">
        <f t="shared" si="173"/>
        <v>0.1844000078</v>
      </c>
      <c r="J240" s="115"/>
      <c r="K240" s="116"/>
      <c r="L240" s="116"/>
      <c r="M240" s="117"/>
      <c r="N240" s="118"/>
      <c r="O240" s="119"/>
      <c r="P240" s="1"/>
      <c r="Q240" s="56">
        <v>6.454107774702001E8</v>
      </c>
      <c r="R240" s="56">
        <v>4.13E8</v>
      </c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23" t="s">
        <v>64</v>
      </c>
      <c r="F241" s="13">
        <f t="shared" ref="F241:H241" si="177">SUM(F72)</f>
        <v>13500000</v>
      </c>
      <c r="G241" s="13">
        <f t="shared" si="177"/>
        <v>10000000</v>
      </c>
      <c r="H241" s="13">
        <f t="shared" si="177"/>
        <v>3500000</v>
      </c>
      <c r="I241" s="14">
        <f t="shared" si="173"/>
        <v>0.2592592593</v>
      </c>
      <c r="J241" s="95"/>
      <c r="K241" s="25"/>
      <c r="L241" s="25"/>
      <c r="M241" s="26"/>
      <c r="N241" s="58"/>
      <c r="O241" s="96"/>
      <c r="P241" s="1"/>
      <c r="Q241" s="56">
        <v>1.1365881032154002E9</v>
      </c>
      <c r="R241" s="56">
        <v>4.13E8</v>
      </c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97" t="s">
        <v>79</v>
      </c>
      <c r="F242" s="98">
        <f>SUM(F93)</f>
        <v>3492667015</v>
      </c>
      <c r="G242" s="98">
        <f>G93</f>
        <v>2723733650</v>
      </c>
      <c r="H242" s="98">
        <f>SUM(H93)</f>
        <v>768933365</v>
      </c>
      <c r="I242" s="99">
        <f t="shared" si="173"/>
        <v>0.2201565055</v>
      </c>
      <c r="J242" s="100"/>
      <c r="K242" s="68"/>
      <c r="L242" s="68"/>
      <c r="M242" s="101"/>
      <c r="N242" s="120"/>
      <c r="O242" s="98"/>
      <c r="P242" s="1"/>
      <c r="Q242" s="56">
        <v>5.1657577747020006E8</v>
      </c>
      <c r="R242" s="56">
        <v>4.43E8</v>
      </c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03" t="s">
        <v>80</v>
      </c>
      <c r="F243" s="104">
        <f t="shared" ref="F243:H243" si="178">SUM(F240:F242)</f>
        <v>4571144215</v>
      </c>
      <c r="G243" s="104">
        <f t="shared" si="178"/>
        <v>3602329046</v>
      </c>
      <c r="H243" s="104">
        <f t="shared" si="178"/>
        <v>968815169</v>
      </c>
      <c r="I243" s="105">
        <f t="shared" si="173"/>
        <v>0.2119415016</v>
      </c>
      <c r="J243" s="106"/>
      <c r="K243" s="107"/>
      <c r="L243" s="107"/>
      <c r="M243" s="108"/>
      <c r="N243" s="109"/>
      <c r="O243" s="110"/>
      <c r="P243" s="1"/>
      <c r="Q243" s="111">
        <v>2.2985746581558003E9</v>
      </c>
      <c r="R243" s="111">
        <v>1.269E9</v>
      </c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03" t="s">
        <v>81</v>
      </c>
      <c r="F244" s="104">
        <f t="shared" ref="F244:H244" si="179">F239+F243</f>
        <v>9047673095</v>
      </c>
      <c r="G244" s="104">
        <f t="shared" si="179"/>
        <v>6884106216</v>
      </c>
      <c r="H244" s="104">
        <f t="shared" si="179"/>
        <v>2163566879</v>
      </c>
      <c r="I244" s="105">
        <f t="shared" si="173"/>
        <v>0.2391296476</v>
      </c>
      <c r="J244" s="106"/>
      <c r="K244" s="107"/>
      <c r="L244" s="107"/>
      <c r="M244" s="108"/>
      <c r="N244" s="109"/>
      <c r="O244" s="110"/>
      <c r="P244" s="1"/>
      <c r="Q244" s="111">
        <v>4.1419021677358E9</v>
      </c>
      <c r="R244" s="111">
        <v>2.518E9</v>
      </c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12" t="s">
        <v>92</v>
      </c>
      <c r="F245" s="113">
        <f t="shared" ref="F245:H245" si="180">SUM(F123)</f>
        <v>1619282720</v>
      </c>
      <c r="G245" s="113">
        <f t="shared" si="180"/>
        <v>1234421084</v>
      </c>
      <c r="H245" s="113">
        <f t="shared" si="180"/>
        <v>384861636</v>
      </c>
      <c r="I245" s="114">
        <f t="shared" si="173"/>
        <v>0.237674145</v>
      </c>
      <c r="J245" s="115"/>
      <c r="K245" s="116"/>
      <c r="L245" s="116"/>
      <c r="M245" s="117"/>
      <c r="N245" s="118"/>
      <c r="O245" s="119"/>
      <c r="P245" s="1"/>
      <c r="Q245" s="56">
        <v>5.1657577747020006E8</v>
      </c>
      <c r="R245" s="56">
        <v>4.13E8</v>
      </c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23" t="s">
        <v>111</v>
      </c>
      <c r="F246" s="13">
        <f t="shared" ref="F246:H246" si="181">SUM(F144)</f>
        <v>2224985300</v>
      </c>
      <c r="G246" s="13">
        <f t="shared" si="181"/>
        <v>1767842320</v>
      </c>
      <c r="H246" s="13">
        <f t="shared" si="181"/>
        <v>457142980</v>
      </c>
      <c r="I246" s="14">
        <f t="shared" si="173"/>
        <v>0.2054588765</v>
      </c>
      <c r="J246" s="95"/>
      <c r="K246" s="25"/>
      <c r="L246" s="25"/>
      <c r="M246" s="26"/>
      <c r="N246" s="58"/>
      <c r="O246" s="96"/>
      <c r="P246" s="1"/>
      <c r="Q246" s="56">
        <v>5.1657577747020006E8</v>
      </c>
      <c r="R246" s="56">
        <v>4.13E8</v>
      </c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97" t="s">
        <v>114</v>
      </c>
      <c r="F247" s="98">
        <f t="shared" ref="F247:H247" si="182">SUM(F155)</f>
        <v>43060600</v>
      </c>
      <c r="G247" s="98">
        <f t="shared" si="182"/>
        <v>32296000</v>
      </c>
      <c r="H247" s="98">
        <f t="shared" si="182"/>
        <v>10764600</v>
      </c>
      <c r="I247" s="99">
        <f t="shared" si="173"/>
        <v>0.2499872273</v>
      </c>
      <c r="J247" s="100"/>
      <c r="K247" s="68"/>
      <c r="L247" s="68"/>
      <c r="M247" s="101"/>
      <c r="N247" s="120"/>
      <c r="O247" s="102"/>
      <c r="P247" s="1"/>
      <c r="Q247" s="56">
        <v>5.1657577747020006E8</v>
      </c>
      <c r="R247" s="56">
        <v>4.23E8</v>
      </c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03" t="s">
        <v>115</v>
      </c>
      <c r="F248" s="104">
        <f t="shared" ref="F248:H248" si="183">SUM(F245:F247)</f>
        <v>3887328620</v>
      </c>
      <c r="G248" s="104">
        <f t="shared" si="183"/>
        <v>3034559404</v>
      </c>
      <c r="H248" s="104">
        <f t="shared" si="183"/>
        <v>852769216</v>
      </c>
      <c r="I248" s="105">
        <f t="shared" si="173"/>
        <v>0.2193715272</v>
      </c>
      <c r="J248" s="106"/>
      <c r="K248" s="107"/>
      <c r="L248" s="107"/>
      <c r="M248" s="108"/>
      <c r="N248" s="109"/>
      <c r="O248" s="110"/>
      <c r="P248" s="1"/>
      <c r="Q248" s="111">
        <v>1.5497273324106002E9</v>
      </c>
      <c r="R248" s="111">
        <v>1.249E9</v>
      </c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12" t="s">
        <v>123</v>
      </c>
      <c r="F249" s="113">
        <f t="shared" ref="F249:H249" si="184">SUM(F175)</f>
        <v>987011080</v>
      </c>
      <c r="G249" s="113">
        <f t="shared" si="184"/>
        <v>770659692</v>
      </c>
      <c r="H249" s="113">
        <f t="shared" si="184"/>
        <v>216351388</v>
      </c>
      <c r="I249" s="114">
        <f t="shared" si="173"/>
        <v>0.2191985403</v>
      </c>
      <c r="J249" s="115"/>
      <c r="K249" s="116"/>
      <c r="L249" s="116"/>
      <c r="M249" s="117"/>
      <c r="N249" s="118"/>
      <c r="O249" s="119"/>
      <c r="P249" s="1"/>
      <c r="Q249" s="56">
        <v>5.1657577747020006E8</v>
      </c>
      <c r="R249" s="56">
        <v>4.13E8</v>
      </c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23" t="s">
        <v>134</v>
      </c>
      <c r="F250" s="13">
        <f t="shared" ref="F250:H250" si="185">SUM(F193)</f>
        <v>5413978640</v>
      </c>
      <c r="G250" s="13">
        <f t="shared" si="185"/>
        <v>4332319179</v>
      </c>
      <c r="H250" s="13">
        <f t="shared" si="185"/>
        <v>1081659461</v>
      </c>
      <c r="I250" s="14">
        <f t="shared" si="173"/>
        <v>0.1997901235</v>
      </c>
      <c r="J250" s="95"/>
      <c r="K250" s="25"/>
      <c r="L250" s="25"/>
      <c r="M250" s="26"/>
      <c r="N250" s="58"/>
      <c r="O250" s="96"/>
      <c r="P250" s="1"/>
      <c r="Q250" s="56">
        <v>5.1657577747020006E8</v>
      </c>
      <c r="R250" s="56">
        <v>4.13E8</v>
      </c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97" t="s">
        <v>135</v>
      </c>
      <c r="F251" s="98">
        <f t="shared" ref="F251:H251" si="186">SUM(F209)</f>
        <v>0</v>
      </c>
      <c r="G251" s="98">
        <f t="shared" si="186"/>
        <v>0</v>
      </c>
      <c r="H251" s="98">
        <f t="shared" si="186"/>
        <v>0</v>
      </c>
      <c r="I251" s="99">
        <f t="shared" si="173"/>
        <v>0</v>
      </c>
      <c r="J251" s="100"/>
      <c r="K251" s="68"/>
      <c r="L251" s="68"/>
      <c r="M251" s="101"/>
      <c r="N251" s="120"/>
      <c r="O251" s="102"/>
      <c r="P251" s="1"/>
      <c r="Q251" s="56">
        <v>9.541480169404001E8</v>
      </c>
      <c r="R251" s="56">
        <v>6.87E8</v>
      </c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03" t="s">
        <v>136</v>
      </c>
      <c r="F252" s="104">
        <f t="shared" ref="F252:H252" si="187">SUM(F249:F251)</f>
        <v>6400989720</v>
      </c>
      <c r="G252" s="104">
        <f t="shared" si="187"/>
        <v>5102978871</v>
      </c>
      <c r="H252" s="104">
        <f t="shared" si="187"/>
        <v>1298010849</v>
      </c>
      <c r="I252" s="105">
        <f t="shared" si="173"/>
        <v>0.2027828361</v>
      </c>
      <c r="J252" s="106"/>
      <c r="K252" s="107"/>
      <c r="L252" s="107"/>
      <c r="M252" s="108"/>
      <c r="N252" s="109"/>
      <c r="O252" s="110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03" t="s">
        <v>137</v>
      </c>
      <c r="F253" s="104">
        <f t="shared" ref="F253:H253" si="188">F248+F252</f>
        <v>10288318340</v>
      </c>
      <c r="G253" s="104">
        <f t="shared" si="188"/>
        <v>8137538275</v>
      </c>
      <c r="H253" s="104">
        <f t="shared" si="188"/>
        <v>2150780065</v>
      </c>
      <c r="I253" s="105">
        <f t="shared" si="173"/>
        <v>0.2090506917</v>
      </c>
      <c r="J253" s="106"/>
      <c r="K253" s="107"/>
      <c r="L253" s="107"/>
      <c r="M253" s="108"/>
      <c r="N253" s="109"/>
      <c r="O253" s="110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2"/>
      <c r="G254" s="2"/>
      <c r="H254" s="2"/>
      <c r="I254" s="3"/>
      <c r="J254" s="75"/>
      <c r="K254" s="75"/>
      <c r="L254" s="75"/>
      <c r="M254" s="75"/>
      <c r="N254" s="75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03" t="s">
        <v>138</v>
      </c>
      <c r="F255" s="104">
        <f t="shared" ref="F255:H255" si="189">SUM(F253,F244)</f>
        <v>19335991435</v>
      </c>
      <c r="G255" s="104">
        <f t="shared" si="189"/>
        <v>15021644491</v>
      </c>
      <c r="H255" s="104">
        <f t="shared" si="189"/>
        <v>4314346944</v>
      </c>
      <c r="I255" s="105">
        <f t="shared" ref="I255:I256" si="191">IFERROR(H255/F255,0)</f>
        <v>0.2231251994</v>
      </c>
      <c r="J255" s="106"/>
      <c r="K255" s="107"/>
      <c r="L255" s="107"/>
      <c r="M255" s="108"/>
      <c r="N255" s="109"/>
      <c r="O255" s="110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21" t="s">
        <v>143</v>
      </c>
      <c r="F256" s="104">
        <f t="shared" ref="F256:H256" si="190">F231</f>
        <v>19335991435</v>
      </c>
      <c r="G256" s="104">
        <f t="shared" si="190"/>
        <v>15021644491</v>
      </c>
      <c r="H256" s="104">
        <f t="shared" si="190"/>
        <v>4314346944</v>
      </c>
      <c r="I256" s="105">
        <f t="shared" si="191"/>
        <v>0.2231251994</v>
      </c>
      <c r="J256" s="106"/>
      <c r="K256" s="107"/>
      <c r="L256" s="107"/>
      <c r="M256" s="108"/>
      <c r="N256" s="109"/>
      <c r="O256" s="122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2"/>
      <c r="G257" s="2"/>
      <c r="H257" s="2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2"/>
      <c r="G258" s="2"/>
      <c r="H258" s="2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2"/>
      <c r="G259" s="2"/>
      <c r="H259" s="2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2"/>
      <c r="G260" s="2"/>
      <c r="H260" s="2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2"/>
      <c r="G261" s="2"/>
      <c r="H261" s="2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2"/>
      <c r="G262" s="2"/>
      <c r="H262" s="2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2"/>
      <c r="G263" s="2"/>
      <c r="H263" s="2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2"/>
      <c r="G264" s="2"/>
      <c r="H264" s="2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23">
        <v>43952.0</v>
      </c>
      <c r="D265" s="124"/>
      <c r="E265" s="124"/>
      <c r="F265" s="125"/>
      <c r="G265" s="43"/>
      <c r="H265" s="125"/>
      <c r="I265" s="3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23">
        <v>43983.0</v>
      </c>
      <c r="D266" s="124"/>
      <c r="E266" s="124"/>
      <c r="F266" s="125"/>
      <c r="G266" s="43"/>
      <c r="H266" s="125"/>
      <c r="I266" s="3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23">
        <v>44013.0</v>
      </c>
      <c r="D267" s="124"/>
      <c r="E267" s="124"/>
      <c r="F267" s="125"/>
      <c r="G267" s="43"/>
      <c r="H267" s="125"/>
      <c r="I267" s="3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23">
        <v>44044.0</v>
      </c>
      <c r="D268" s="124"/>
      <c r="E268" s="124"/>
      <c r="F268" s="125"/>
      <c r="G268" s="43"/>
      <c r="H268" s="125"/>
      <c r="I268" s="12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23">
        <v>44075.0</v>
      </c>
      <c r="D269" s="124"/>
      <c r="E269" s="124"/>
      <c r="F269" s="125"/>
      <c r="G269" s="43"/>
      <c r="H269" s="125"/>
      <c r="I269" s="12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23">
        <v>44105.0</v>
      </c>
      <c r="D270" s="124"/>
      <c r="E270" s="124"/>
      <c r="F270" s="125"/>
      <c r="G270" s="43"/>
      <c r="H270" s="125"/>
      <c r="I270" s="12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23">
        <v>44136.0</v>
      </c>
      <c r="D271" s="124"/>
      <c r="E271" s="124"/>
      <c r="F271" s="125"/>
      <c r="G271" s="43"/>
      <c r="H271" s="125"/>
      <c r="I271" s="12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23">
        <v>44166.0</v>
      </c>
      <c r="D272" s="124"/>
      <c r="E272" s="124"/>
      <c r="F272" s="125"/>
      <c r="G272" s="43"/>
      <c r="H272" s="125"/>
      <c r="I272" s="12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2"/>
      <c r="G273" s="2"/>
      <c r="H273" s="2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27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28"/>
      <c r="B275" s="128"/>
      <c r="C275" s="128"/>
      <c r="D275" s="129"/>
      <c r="E275" s="129"/>
      <c r="F275" s="130"/>
      <c r="G275" s="131"/>
      <c r="H275" s="130"/>
      <c r="I275" s="132"/>
      <c r="J275" s="128"/>
      <c r="K275" s="129"/>
      <c r="L275" s="129"/>
      <c r="M275" s="129"/>
      <c r="N275" s="129"/>
      <c r="O275" s="129"/>
      <c r="P275" s="129"/>
      <c r="Q275" s="129"/>
      <c r="R275" s="129"/>
      <c r="S275" s="133"/>
      <c r="T275" s="134"/>
      <c r="U275" s="133"/>
      <c r="V275" s="134"/>
      <c r="W275" s="129"/>
      <c r="X275" s="129"/>
      <c r="Y275" s="129"/>
    </row>
    <row r="276">
      <c r="A276" s="128"/>
      <c r="B276" s="128"/>
      <c r="C276" s="128"/>
      <c r="D276" s="135"/>
      <c r="E276" s="135"/>
      <c r="F276" s="136"/>
      <c r="G276" s="137"/>
      <c r="H276" s="136"/>
      <c r="I276" s="132"/>
      <c r="J276" s="128"/>
      <c r="K276" s="129"/>
      <c r="L276" s="129"/>
      <c r="M276" s="129"/>
      <c r="N276" s="129"/>
      <c r="O276" s="129"/>
      <c r="P276" s="129"/>
      <c r="Q276" s="129"/>
      <c r="R276" s="129"/>
      <c r="S276" s="133"/>
      <c r="T276" s="133"/>
      <c r="U276" s="131"/>
      <c r="V276" s="133"/>
      <c r="W276" s="138"/>
      <c r="X276" s="129"/>
      <c r="Y276" s="129"/>
    </row>
    <row r="277">
      <c r="A277" s="1"/>
      <c r="B277" s="1"/>
      <c r="C277" s="1"/>
      <c r="D277" s="1"/>
      <c r="E277" s="1"/>
      <c r="F277" s="139"/>
      <c r="G277" s="133"/>
      <c r="H277" s="139"/>
      <c r="I277" s="14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2"/>
      <c r="G278" s="2"/>
      <c r="H278" s="2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2"/>
      <c r="G279" s="2"/>
      <c r="H279" s="2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2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2"/>
      <c r="G281" s="2"/>
      <c r="H281" s="2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2"/>
      <c r="G282" s="2"/>
      <c r="H282" s="2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2"/>
      <c r="G283" s="2"/>
      <c r="H283" s="2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2"/>
      <c r="G284" s="2"/>
      <c r="H284" s="2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2"/>
      <c r="G285" s="2"/>
      <c r="H285" s="2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2"/>
      <c r="G286" s="2"/>
      <c r="H286" s="2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2"/>
      <c r="G287" s="2"/>
      <c r="H287" s="2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2"/>
      <c r="G288" s="2"/>
      <c r="H288" s="2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2"/>
      <c r="G289" s="2"/>
      <c r="H289" s="2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2"/>
      <c r="G290" s="2"/>
      <c r="H290" s="2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2"/>
      <c r="G291" s="2"/>
      <c r="H291" s="2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2"/>
      <c r="G292" s="2"/>
      <c r="H292" s="2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2"/>
      <c r="G293" s="2"/>
      <c r="H293" s="2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2"/>
      <c r="G294" s="2"/>
      <c r="H294" s="2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2"/>
      <c r="G295" s="2"/>
      <c r="H295" s="2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2"/>
      <c r="G296" s="2"/>
      <c r="H296" s="2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2"/>
      <c r="G297" s="2"/>
      <c r="H297" s="2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2"/>
      <c r="G298" s="2"/>
      <c r="H298" s="2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2"/>
      <c r="G299" s="2"/>
      <c r="H299" s="2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2"/>
      <c r="G300" s="2"/>
      <c r="H300" s="2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2"/>
      <c r="G301" s="2"/>
      <c r="H301" s="2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2"/>
      <c r="G302" s="2"/>
      <c r="H302" s="2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2"/>
      <c r="G303" s="2"/>
      <c r="H303" s="2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2"/>
      <c r="G304" s="2"/>
      <c r="H304" s="2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2"/>
      <c r="G305" s="2"/>
      <c r="H305" s="2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2"/>
      <c r="G306" s="2"/>
      <c r="H306" s="2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2"/>
      <c r="G307" s="2"/>
      <c r="H307" s="2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2"/>
      <c r="G308" s="2"/>
      <c r="H308" s="2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2"/>
      <c r="G309" s="2"/>
      <c r="H309" s="2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2"/>
      <c r="G310" s="2"/>
      <c r="H310" s="2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2"/>
      <c r="G311" s="2"/>
      <c r="H311" s="2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2"/>
      <c r="G312" s="2"/>
      <c r="H312" s="2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2"/>
      <c r="G313" s="2"/>
      <c r="H313" s="2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2"/>
      <c r="G314" s="2"/>
      <c r="H314" s="2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2"/>
      <c r="G315" s="2"/>
      <c r="H315" s="2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2"/>
      <c r="G316" s="2"/>
      <c r="H316" s="2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2"/>
      <c r="G317" s="2"/>
      <c r="H317" s="2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2"/>
      <c r="G318" s="2"/>
      <c r="H318" s="2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2"/>
      <c r="G319" s="2"/>
      <c r="H319" s="2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2"/>
      <c r="G320" s="2"/>
      <c r="H320" s="2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2"/>
      <c r="G321" s="2"/>
      <c r="H321" s="2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2"/>
      <c r="G322" s="2"/>
      <c r="H322" s="2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2"/>
      <c r="G323" s="2"/>
      <c r="H323" s="2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2"/>
      <c r="G324" s="2"/>
      <c r="H324" s="2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2"/>
      <c r="G325" s="2"/>
      <c r="H325" s="2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2"/>
      <c r="G326" s="2"/>
      <c r="H326" s="2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2"/>
      <c r="G327" s="2"/>
      <c r="H327" s="2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2"/>
      <c r="G328" s="2"/>
      <c r="H328" s="2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2"/>
      <c r="G329" s="2"/>
      <c r="H329" s="2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2"/>
      <c r="G330" s="2"/>
      <c r="H330" s="2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2"/>
      <c r="G331" s="2"/>
      <c r="H331" s="2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2"/>
      <c r="G332" s="2"/>
      <c r="H332" s="2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2"/>
      <c r="G333" s="2"/>
      <c r="H333" s="2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2"/>
      <c r="G334" s="2"/>
      <c r="H334" s="2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2"/>
      <c r="G335" s="2"/>
      <c r="H335" s="2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2"/>
      <c r="G336" s="2"/>
      <c r="H336" s="2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2"/>
      <c r="G337" s="2"/>
      <c r="H337" s="2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2"/>
      <c r="G338" s="2"/>
      <c r="H338" s="2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2"/>
      <c r="G339" s="2"/>
      <c r="H339" s="2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2"/>
      <c r="G340" s="2"/>
      <c r="H340" s="2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2"/>
      <c r="G341" s="2"/>
      <c r="H341" s="2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2"/>
      <c r="G342" s="2"/>
      <c r="H342" s="2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2"/>
      <c r="G343" s="2"/>
      <c r="H343" s="2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2"/>
      <c r="G344" s="2"/>
      <c r="H344" s="2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2"/>
      <c r="G345" s="2"/>
      <c r="H345" s="2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2"/>
      <c r="G346" s="2"/>
      <c r="H346" s="2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2"/>
      <c r="G347" s="2"/>
      <c r="H347" s="2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2"/>
      <c r="G348" s="2"/>
      <c r="H348" s="2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2"/>
      <c r="G349" s="2"/>
      <c r="H349" s="2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2"/>
      <c r="G350" s="2"/>
      <c r="H350" s="2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2"/>
      <c r="G351" s="2"/>
      <c r="H351" s="2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2"/>
      <c r="G352" s="2"/>
      <c r="H352" s="2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2"/>
      <c r="G353" s="2"/>
      <c r="H353" s="2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2"/>
      <c r="G354" s="2"/>
      <c r="H354" s="2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2"/>
      <c r="G355" s="2"/>
      <c r="H355" s="2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2"/>
      <c r="G356" s="2"/>
      <c r="H356" s="2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2"/>
      <c r="G357" s="2"/>
      <c r="H357" s="2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2"/>
      <c r="G358" s="2"/>
      <c r="H358" s="2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2"/>
      <c r="G359" s="2"/>
      <c r="H359" s="2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2"/>
      <c r="G360" s="2"/>
      <c r="H360" s="2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2"/>
      <c r="G361" s="2"/>
      <c r="H361" s="2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2"/>
      <c r="G362" s="2"/>
      <c r="H362" s="2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2"/>
      <c r="G363" s="2"/>
      <c r="H363" s="2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2"/>
      <c r="G364" s="2"/>
      <c r="H364" s="2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2"/>
      <c r="G365" s="2"/>
      <c r="H365" s="2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2"/>
      <c r="G366" s="2"/>
      <c r="H366" s="2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2"/>
      <c r="G367" s="2"/>
      <c r="H367" s="2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2"/>
      <c r="G368" s="2"/>
      <c r="H368" s="2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2"/>
      <c r="G369" s="2"/>
      <c r="H369" s="2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2"/>
      <c r="G370" s="2"/>
      <c r="H370" s="2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2"/>
      <c r="G371" s="2"/>
      <c r="H371" s="2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2"/>
      <c r="G372" s="2"/>
      <c r="H372" s="2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2"/>
      <c r="G373" s="2"/>
      <c r="H373" s="2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2"/>
      <c r="G374" s="2"/>
      <c r="H374" s="2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2"/>
      <c r="G375" s="2"/>
      <c r="H375" s="2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2"/>
      <c r="G376" s="2"/>
      <c r="H376" s="2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2"/>
      <c r="G377" s="2"/>
      <c r="H377" s="2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2"/>
      <c r="G378" s="2"/>
      <c r="H378" s="2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2"/>
      <c r="G379" s="2"/>
      <c r="H379" s="2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2"/>
      <c r="G380" s="2"/>
      <c r="H380" s="2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2"/>
      <c r="G381" s="2"/>
      <c r="H381" s="2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2"/>
      <c r="G382" s="2"/>
      <c r="H382" s="2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2"/>
      <c r="G383" s="2"/>
      <c r="H383" s="2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2"/>
      <c r="G384" s="2"/>
      <c r="H384" s="2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2"/>
      <c r="G385" s="2"/>
      <c r="H385" s="2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2"/>
      <c r="G386" s="2"/>
      <c r="H386" s="2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2"/>
      <c r="G387" s="2"/>
      <c r="H387" s="2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2"/>
      <c r="G388" s="2"/>
      <c r="H388" s="2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2"/>
      <c r="G389" s="2"/>
      <c r="H389" s="2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2"/>
      <c r="G390" s="2"/>
      <c r="H390" s="2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2"/>
      <c r="G391" s="2"/>
      <c r="H391" s="2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2"/>
      <c r="G392" s="2"/>
      <c r="H392" s="2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2"/>
      <c r="G393" s="2"/>
      <c r="H393" s="2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2"/>
      <c r="G394" s="2"/>
      <c r="H394" s="2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2"/>
      <c r="G395" s="2"/>
      <c r="H395" s="2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2"/>
      <c r="G396" s="2"/>
      <c r="H396" s="2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2"/>
      <c r="G397" s="2"/>
      <c r="H397" s="2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2"/>
      <c r="G398" s="2"/>
      <c r="H398" s="2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2"/>
      <c r="G399" s="2"/>
      <c r="H399" s="2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2"/>
      <c r="G400" s="2"/>
      <c r="H400" s="2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2"/>
      <c r="G401" s="2"/>
      <c r="H401" s="2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2"/>
      <c r="G402" s="2"/>
      <c r="H402" s="2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2"/>
      <c r="G403" s="2"/>
      <c r="H403" s="2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2"/>
      <c r="G404" s="2"/>
      <c r="H404" s="2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2"/>
      <c r="G405" s="2"/>
      <c r="H405" s="2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2"/>
      <c r="G406" s="2"/>
      <c r="H406" s="2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2"/>
      <c r="G407" s="2"/>
      <c r="H407" s="2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2"/>
      <c r="G408" s="2"/>
      <c r="H408" s="2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2"/>
      <c r="G409" s="2"/>
      <c r="H409" s="2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2"/>
      <c r="G410" s="2"/>
      <c r="H410" s="2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2"/>
      <c r="G411" s="2"/>
      <c r="H411" s="2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2"/>
      <c r="G412" s="2"/>
      <c r="H412" s="2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2"/>
      <c r="G413" s="2"/>
      <c r="H413" s="2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2"/>
      <c r="G414" s="2"/>
      <c r="H414" s="2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2"/>
      <c r="G415" s="2"/>
      <c r="H415" s="2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2"/>
      <c r="G416" s="2"/>
      <c r="H416" s="2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2"/>
      <c r="G417" s="2"/>
      <c r="H417" s="2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2"/>
      <c r="G418" s="2"/>
      <c r="H418" s="2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2"/>
      <c r="G419" s="2"/>
      <c r="H419" s="2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2"/>
      <c r="G420" s="2"/>
      <c r="H420" s="2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2"/>
      <c r="G421" s="2"/>
      <c r="H421" s="2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2"/>
      <c r="G422" s="2"/>
      <c r="H422" s="2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2"/>
      <c r="G423" s="2"/>
      <c r="H423" s="2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2"/>
      <c r="G424" s="2"/>
      <c r="H424" s="2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2"/>
      <c r="G425" s="2"/>
      <c r="H425" s="2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2"/>
      <c r="G426" s="2"/>
      <c r="H426" s="2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2"/>
      <c r="G427" s="2"/>
      <c r="H427" s="2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2"/>
      <c r="G428" s="2"/>
      <c r="H428" s="2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2"/>
      <c r="G429" s="2"/>
      <c r="H429" s="2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2"/>
      <c r="G430" s="2"/>
      <c r="H430" s="2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2"/>
      <c r="G431" s="2"/>
      <c r="H431" s="2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2"/>
      <c r="G432" s="2"/>
      <c r="H432" s="2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2"/>
      <c r="G433" s="2"/>
      <c r="H433" s="2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2"/>
      <c r="G434" s="2"/>
      <c r="H434" s="2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2"/>
      <c r="G435" s="2"/>
      <c r="H435" s="2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2"/>
      <c r="G436" s="2"/>
      <c r="H436" s="2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2"/>
      <c r="G437" s="2"/>
      <c r="H437" s="2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2"/>
      <c r="G438" s="2"/>
      <c r="H438" s="2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2"/>
      <c r="G439" s="2"/>
      <c r="H439" s="2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2"/>
      <c r="G440" s="2"/>
      <c r="H440" s="2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2"/>
      <c r="G441" s="2"/>
      <c r="H441" s="2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2"/>
      <c r="G442" s="2"/>
      <c r="H442" s="2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2"/>
      <c r="G443" s="2"/>
      <c r="H443" s="2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2"/>
      <c r="G444" s="2"/>
      <c r="H444" s="2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2"/>
      <c r="G445" s="2"/>
      <c r="H445" s="2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2"/>
      <c r="G446" s="2"/>
      <c r="H446" s="2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2"/>
      <c r="G447" s="2"/>
      <c r="H447" s="2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2"/>
      <c r="G448" s="2"/>
      <c r="H448" s="2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2"/>
      <c r="G449" s="2"/>
      <c r="H449" s="2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2"/>
      <c r="G450" s="2"/>
      <c r="H450" s="2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2"/>
      <c r="G451" s="2"/>
      <c r="H451" s="2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2"/>
      <c r="G452" s="2"/>
      <c r="H452" s="2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2"/>
      <c r="G453" s="2"/>
      <c r="H453" s="2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2"/>
      <c r="G454" s="2"/>
      <c r="H454" s="2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2"/>
      <c r="G455" s="2"/>
      <c r="H455" s="2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2"/>
      <c r="G456" s="2"/>
      <c r="H456" s="2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2"/>
      <c r="G457" s="2"/>
      <c r="H457" s="2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2"/>
      <c r="G458" s="2"/>
      <c r="H458" s="2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2"/>
      <c r="G459" s="2"/>
      <c r="H459" s="2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2"/>
      <c r="G460" s="2"/>
      <c r="H460" s="2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2"/>
      <c r="G461" s="2"/>
      <c r="H461" s="2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2"/>
      <c r="G462" s="2"/>
      <c r="H462" s="2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2"/>
      <c r="G463" s="2"/>
      <c r="H463" s="2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2"/>
      <c r="G464" s="2"/>
      <c r="H464" s="2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2"/>
      <c r="G465" s="2"/>
      <c r="H465" s="2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2"/>
      <c r="G466" s="2"/>
      <c r="H466" s="2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2"/>
      <c r="G467" s="2"/>
      <c r="H467" s="2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2"/>
      <c r="G468" s="2"/>
      <c r="H468" s="2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2"/>
      <c r="G469" s="2"/>
      <c r="H469" s="2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2"/>
      <c r="G470" s="2"/>
      <c r="H470" s="2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2"/>
      <c r="G471" s="2"/>
      <c r="H471" s="2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2"/>
      <c r="G472" s="2"/>
      <c r="H472" s="2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2"/>
      <c r="G473" s="2"/>
      <c r="H473" s="2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2"/>
      <c r="G474" s="2"/>
      <c r="H474" s="2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2"/>
      <c r="G475" s="2"/>
      <c r="H475" s="2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2"/>
      <c r="G476" s="2"/>
      <c r="H476" s="2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2"/>
      <c r="G477" s="2"/>
      <c r="H477" s="2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2"/>
      <c r="G478" s="2"/>
      <c r="H478" s="2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2"/>
      <c r="G479" s="2"/>
      <c r="H479" s="2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2"/>
      <c r="G480" s="2"/>
      <c r="H480" s="2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2"/>
      <c r="G481" s="2"/>
      <c r="H481" s="2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2"/>
      <c r="G482" s="2"/>
      <c r="H482" s="2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2"/>
      <c r="G483" s="2"/>
      <c r="H483" s="2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2"/>
      <c r="G484" s="2"/>
      <c r="H484" s="2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2"/>
      <c r="G485" s="2"/>
      <c r="H485" s="2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2"/>
      <c r="G486" s="2"/>
      <c r="H486" s="2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2"/>
      <c r="G487" s="2"/>
      <c r="H487" s="2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2"/>
      <c r="G488" s="2"/>
      <c r="H488" s="2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2"/>
      <c r="G489" s="2"/>
      <c r="H489" s="2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2"/>
      <c r="G490" s="2"/>
      <c r="H490" s="2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2"/>
      <c r="G491" s="2"/>
      <c r="H491" s="2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2"/>
      <c r="G492" s="2"/>
      <c r="H492" s="2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2"/>
      <c r="G493" s="2"/>
      <c r="H493" s="2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2"/>
      <c r="G494" s="2"/>
      <c r="H494" s="2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2"/>
      <c r="G495" s="2"/>
      <c r="H495" s="2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2"/>
      <c r="G496" s="2"/>
      <c r="H496" s="2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2"/>
      <c r="G497" s="2"/>
      <c r="H497" s="2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2"/>
      <c r="G498" s="2"/>
      <c r="H498" s="2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2"/>
      <c r="G499" s="2"/>
      <c r="H499" s="2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2"/>
      <c r="G500" s="2"/>
      <c r="H500" s="2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2"/>
      <c r="G501" s="2"/>
      <c r="H501" s="2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2"/>
      <c r="G502" s="2"/>
      <c r="H502" s="2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2"/>
      <c r="G503" s="2"/>
      <c r="H503" s="2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2"/>
      <c r="G504" s="2"/>
      <c r="H504" s="2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2"/>
      <c r="G505" s="2"/>
      <c r="H505" s="2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2"/>
      <c r="G506" s="2"/>
      <c r="H506" s="2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2"/>
      <c r="G507" s="2"/>
      <c r="H507" s="2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2"/>
      <c r="G508" s="2"/>
      <c r="H508" s="2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2"/>
      <c r="G509" s="2"/>
      <c r="H509" s="2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2"/>
      <c r="G510" s="2"/>
      <c r="H510" s="2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2"/>
      <c r="G511" s="2"/>
      <c r="H511" s="2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2"/>
      <c r="G512" s="2"/>
      <c r="H512" s="2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2"/>
      <c r="G513" s="2"/>
      <c r="H513" s="2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2"/>
      <c r="G514" s="2"/>
      <c r="H514" s="2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2"/>
      <c r="G515" s="2"/>
      <c r="H515" s="2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2"/>
      <c r="G516" s="2"/>
      <c r="H516" s="2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2"/>
      <c r="G517" s="2"/>
      <c r="H517" s="2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2"/>
      <c r="G518" s="2"/>
      <c r="H518" s="2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2"/>
      <c r="G519" s="2"/>
      <c r="H519" s="2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2"/>
      <c r="G520" s="2"/>
      <c r="H520" s="2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2"/>
      <c r="G521" s="2"/>
      <c r="H521" s="2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2"/>
      <c r="G522" s="2"/>
      <c r="H522" s="2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2"/>
      <c r="G523" s="2"/>
      <c r="H523" s="2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2"/>
      <c r="G524" s="2"/>
      <c r="H524" s="2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2"/>
      <c r="G525" s="2"/>
      <c r="H525" s="2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2"/>
      <c r="G526" s="2"/>
      <c r="H526" s="2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2"/>
      <c r="G527" s="2"/>
      <c r="H527" s="2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2"/>
      <c r="G528" s="2"/>
      <c r="H528" s="2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2"/>
      <c r="G529" s="2"/>
      <c r="H529" s="2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2"/>
      <c r="G530" s="2"/>
      <c r="H530" s="2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2"/>
      <c r="G531" s="2"/>
      <c r="H531" s="2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2"/>
      <c r="G532" s="2"/>
      <c r="H532" s="2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2"/>
      <c r="G533" s="2"/>
      <c r="H533" s="2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2"/>
      <c r="G534" s="2"/>
      <c r="H534" s="2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2"/>
      <c r="G535" s="2"/>
      <c r="H535" s="2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2"/>
      <c r="G536" s="2"/>
      <c r="H536" s="2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2"/>
      <c r="G537" s="2"/>
      <c r="H537" s="2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2"/>
      <c r="G538" s="2"/>
      <c r="H538" s="2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2"/>
      <c r="G539" s="2"/>
      <c r="H539" s="2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2"/>
      <c r="G540" s="2"/>
      <c r="H540" s="2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2"/>
      <c r="G541" s="2"/>
      <c r="H541" s="2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2"/>
      <c r="G542" s="2"/>
      <c r="H542" s="2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2"/>
      <c r="G543" s="2"/>
      <c r="H543" s="2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2"/>
      <c r="G544" s="2"/>
      <c r="H544" s="2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2"/>
      <c r="G545" s="2"/>
      <c r="H545" s="2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2"/>
      <c r="G546" s="2"/>
      <c r="H546" s="2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2"/>
      <c r="G547" s="2"/>
      <c r="H547" s="2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2"/>
      <c r="G548" s="2"/>
      <c r="H548" s="2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2"/>
      <c r="G549" s="2"/>
      <c r="H549" s="2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2"/>
      <c r="G550" s="2"/>
      <c r="H550" s="2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2"/>
      <c r="G551" s="2"/>
      <c r="H551" s="2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2"/>
      <c r="G552" s="2"/>
      <c r="H552" s="2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2"/>
      <c r="G553" s="2"/>
      <c r="H553" s="2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2"/>
      <c r="G554" s="2"/>
      <c r="H554" s="2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2"/>
      <c r="G555" s="2"/>
      <c r="H555" s="2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2"/>
      <c r="G556" s="2"/>
      <c r="H556" s="2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2"/>
      <c r="G557" s="2"/>
      <c r="H557" s="2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2"/>
      <c r="G558" s="2"/>
      <c r="H558" s="2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2"/>
      <c r="G559" s="2"/>
      <c r="H559" s="2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2"/>
      <c r="G560" s="2"/>
      <c r="H560" s="2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2"/>
      <c r="G561" s="2"/>
      <c r="H561" s="2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2"/>
      <c r="G562" s="2"/>
      <c r="H562" s="2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2"/>
      <c r="G563" s="2"/>
      <c r="H563" s="2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2"/>
      <c r="G564" s="2"/>
      <c r="H564" s="2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2"/>
      <c r="G565" s="2"/>
      <c r="H565" s="2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2"/>
      <c r="G566" s="2"/>
      <c r="H566" s="2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2"/>
      <c r="G567" s="2"/>
      <c r="H567" s="2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2"/>
      <c r="G568" s="2"/>
      <c r="H568" s="2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2"/>
      <c r="G569" s="2"/>
      <c r="H569" s="2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2"/>
      <c r="G570" s="2"/>
      <c r="H570" s="2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2"/>
      <c r="G571" s="2"/>
      <c r="H571" s="2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2"/>
      <c r="G572" s="2"/>
      <c r="H572" s="2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2"/>
      <c r="G573" s="2"/>
      <c r="H573" s="2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2"/>
      <c r="G574" s="2"/>
      <c r="H574" s="2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2"/>
      <c r="G575" s="2"/>
      <c r="H575" s="2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2"/>
      <c r="G576" s="2"/>
      <c r="H576" s="2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2"/>
      <c r="G577" s="2"/>
      <c r="H577" s="2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2"/>
      <c r="G578" s="2"/>
      <c r="H578" s="2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2"/>
      <c r="G579" s="2"/>
      <c r="H579" s="2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2"/>
      <c r="G580" s="2"/>
      <c r="H580" s="2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2"/>
      <c r="G581" s="2"/>
      <c r="H581" s="2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2"/>
      <c r="G582" s="2"/>
      <c r="H582" s="2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2"/>
      <c r="G583" s="2"/>
      <c r="H583" s="2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2"/>
      <c r="G584" s="2"/>
      <c r="H584" s="2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2"/>
      <c r="G585" s="2"/>
      <c r="H585" s="2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2"/>
      <c r="G586" s="2"/>
      <c r="H586" s="2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2"/>
      <c r="G587" s="2"/>
      <c r="H587" s="2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2"/>
      <c r="G588" s="2"/>
      <c r="H588" s="2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2"/>
      <c r="G589" s="2"/>
      <c r="H589" s="2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2"/>
      <c r="G590" s="2"/>
      <c r="H590" s="2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2"/>
      <c r="G591" s="2"/>
      <c r="H591" s="2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2"/>
      <c r="G592" s="2"/>
      <c r="H592" s="2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2"/>
      <c r="G593" s="2"/>
      <c r="H593" s="2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2"/>
      <c r="G594" s="2"/>
      <c r="H594" s="2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2"/>
      <c r="G595" s="2"/>
      <c r="H595" s="2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2"/>
      <c r="G596" s="2"/>
      <c r="H596" s="2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2"/>
      <c r="G597" s="2"/>
      <c r="H597" s="2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2"/>
      <c r="G598" s="2"/>
      <c r="H598" s="2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2"/>
      <c r="G599" s="2"/>
      <c r="H599" s="2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2"/>
      <c r="G600" s="2"/>
      <c r="H600" s="2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2"/>
      <c r="G601" s="2"/>
      <c r="H601" s="2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2"/>
      <c r="G602" s="2"/>
      <c r="H602" s="2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2"/>
      <c r="G603" s="2"/>
      <c r="H603" s="2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2"/>
      <c r="G604" s="2"/>
      <c r="H604" s="2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2"/>
      <c r="G605" s="2"/>
      <c r="H605" s="2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2"/>
      <c r="G606" s="2"/>
      <c r="H606" s="2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2"/>
      <c r="G607" s="2"/>
      <c r="H607" s="2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2"/>
      <c r="G608" s="2"/>
      <c r="H608" s="2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2"/>
      <c r="G609" s="2"/>
      <c r="H609" s="2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2"/>
      <c r="G610" s="2"/>
      <c r="H610" s="2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2"/>
      <c r="G611" s="2"/>
      <c r="H611" s="2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2"/>
      <c r="G612" s="2"/>
      <c r="H612" s="2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2"/>
      <c r="G613" s="2"/>
      <c r="H613" s="2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2"/>
      <c r="G614" s="2"/>
      <c r="H614" s="2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2"/>
      <c r="G615" s="2"/>
      <c r="H615" s="2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2"/>
      <c r="G616" s="2"/>
      <c r="H616" s="2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2"/>
      <c r="G617" s="2"/>
      <c r="H617" s="2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2"/>
      <c r="G618" s="2"/>
      <c r="H618" s="2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2"/>
      <c r="G619" s="2"/>
      <c r="H619" s="2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2"/>
      <c r="G620" s="2"/>
      <c r="H620" s="2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2"/>
      <c r="G621" s="2"/>
      <c r="H621" s="2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2"/>
      <c r="G622" s="2"/>
      <c r="H622" s="2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2"/>
      <c r="G623" s="2"/>
      <c r="H623" s="2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2"/>
      <c r="G624" s="2"/>
      <c r="H624" s="2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2"/>
      <c r="G625" s="2"/>
      <c r="H625" s="2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2"/>
      <c r="G626" s="2"/>
      <c r="H626" s="2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2"/>
      <c r="G627" s="2"/>
      <c r="H627" s="2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2"/>
      <c r="G628" s="2"/>
      <c r="H628" s="2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2"/>
      <c r="G629" s="2"/>
      <c r="H629" s="2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2"/>
      <c r="G630" s="2"/>
      <c r="H630" s="2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2"/>
      <c r="G631" s="2"/>
      <c r="H631" s="2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2"/>
      <c r="G632" s="2"/>
      <c r="H632" s="2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2"/>
      <c r="G633" s="2"/>
      <c r="H633" s="2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2"/>
      <c r="G634" s="2"/>
      <c r="H634" s="2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2"/>
      <c r="G635" s="2"/>
      <c r="H635" s="2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2"/>
      <c r="G636" s="2"/>
      <c r="H636" s="2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2"/>
      <c r="G637" s="2"/>
      <c r="H637" s="2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2"/>
      <c r="G638" s="2"/>
      <c r="H638" s="2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2"/>
      <c r="G639" s="2"/>
      <c r="H639" s="2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2"/>
      <c r="G640" s="2"/>
      <c r="H640" s="2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2"/>
      <c r="G641" s="2"/>
      <c r="H641" s="2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2"/>
      <c r="G642" s="2"/>
      <c r="H642" s="2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2"/>
      <c r="G643" s="2"/>
      <c r="H643" s="2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2"/>
      <c r="G644" s="2"/>
      <c r="H644" s="2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2"/>
      <c r="G645" s="2"/>
      <c r="H645" s="2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2"/>
      <c r="G646" s="2"/>
      <c r="H646" s="2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2"/>
      <c r="G647" s="2"/>
      <c r="H647" s="2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2"/>
      <c r="G648" s="2"/>
      <c r="H648" s="2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2"/>
      <c r="G649" s="2"/>
      <c r="H649" s="2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2"/>
      <c r="G650" s="2"/>
      <c r="H650" s="2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2"/>
      <c r="G651" s="2"/>
      <c r="H651" s="2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2"/>
      <c r="G652" s="2"/>
      <c r="H652" s="2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2"/>
      <c r="G653" s="2"/>
      <c r="H653" s="2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2"/>
      <c r="G654" s="2"/>
      <c r="H654" s="2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2"/>
      <c r="G655" s="2"/>
      <c r="H655" s="2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2"/>
      <c r="G656" s="2"/>
      <c r="H656" s="2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2"/>
      <c r="G657" s="2"/>
      <c r="H657" s="2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2"/>
      <c r="G658" s="2"/>
      <c r="H658" s="2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2"/>
      <c r="G659" s="2"/>
      <c r="H659" s="2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2"/>
      <c r="G660" s="2"/>
      <c r="H660" s="2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2"/>
      <c r="G661" s="2"/>
      <c r="H661" s="2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2"/>
      <c r="G662" s="2"/>
      <c r="H662" s="2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2"/>
      <c r="G663" s="2"/>
      <c r="H663" s="2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2"/>
      <c r="G664" s="2"/>
      <c r="H664" s="2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2"/>
      <c r="G665" s="2"/>
      <c r="H665" s="2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2"/>
      <c r="G666" s="2"/>
      <c r="H666" s="2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2"/>
      <c r="G667" s="2"/>
      <c r="H667" s="2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2"/>
      <c r="G668" s="2"/>
      <c r="H668" s="2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2"/>
      <c r="G669" s="2"/>
      <c r="H669" s="2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2"/>
      <c r="G670" s="2"/>
      <c r="H670" s="2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2"/>
      <c r="G671" s="2"/>
      <c r="H671" s="2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2"/>
      <c r="G672" s="2"/>
      <c r="H672" s="2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2"/>
      <c r="G673" s="2"/>
      <c r="H673" s="2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2"/>
      <c r="G674" s="2"/>
      <c r="H674" s="2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2"/>
      <c r="G675" s="2"/>
      <c r="H675" s="2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2"/>
      <c r="G676" s="2"/>
      <c r="H676" s="2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2"/>
      <c r="G677" s="2"/>
      <c r="H677" s="2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2"/>
      <c r="G678" s="2"/>
      <c r="H678" s="2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2"/>
      <c r="G679" s="2"/>
      <c r="H679" s="2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2"/>
      <c r="G680" s="2"/>
      <c r="H680" s="2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2"/>
      <c r="G681" s="2"/>
      <c r="H681" s="2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2"/>
      <c r="G682" s="2"/>
      <c r="H682" s="2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2"/>
      <c r="G683" s="2"/>
      <c r="H683" s="2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2"/>
      <c r="G684" s="2"/>
      <c r="H684" s="2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2"/>
      <c r="G685" s="2"/>
      <c r="H685" s="2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2"/>
      <c r="G686" s="2"/>
      <c r="H686" s="2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2"/>
      <c r="G687" s="2"/>
      <c r="H687" s="2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2"/>
      <c r="G688" s="2"/>
      <c r="H688" s="2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2"/>
      <c r="G689" s="2"/>
      <c r="H689" s="2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2"/>
      <c r="G690" s="2"/>
      <c r="H690" s="2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2"/>
      <c r="G691" s="2"/>
      <c r="H691" s="2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2"/>
      <c r="G692" s="2"/>
      <c r="H692" s="2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2"/>
      <c r="G693" s="2"/>
      <c r="H693" s="2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2"/>
      <c r="G694" s="2"/>
      <c r="H694" s="2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2"/>
      <c r="G695" s="2"/>
      <c r="H695" s="2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2"/>
      <c r="G696" s="2"/>
      <c r="H696" s="2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2"/>
      <c r="G697" s="2"/>
      <c r="H697" s="2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2"/>
      <c r="G698" s="2"/>
      <c r="H698" s="2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2"/>
      <c r="G699" s="2"/>
      <c r="H699" s="2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2"/>
      <c r="G700" s="2"/>
      <c r="H700" s="2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2"/>
      <c r="G701" s="2"/>
      <c r="H701" s="2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2"/>
      <c r="G702" s="2"/>
      <c r="H702" s="2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2"/>
      <c r="G703" s="2"/>
      <c r="H703" s="2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2"/>
      <c r="G704" s="2"/>
      <c r="H704" s="2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2"/>
      <c r="G705" s="2"/>
      <c r="H705" s="2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2"/>
      <c r="G706" s="2"/>
      <c r="H706" s="2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2"/>
      <c r="G707" s="2"/>
      <c r="H707" s="2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2"/>
      <c r="G708" s="2"/>
      <c r="H708" s="2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2"/>
      <c r="G709" s="2"/>
      <c r="H709" s="2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2"/>
      <c r="G710" s="2"/>
      <c r="H710" s="2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2"/>
      <c r="G711" s="2"/>
      <c r="H711" s="2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2"/>
      <c r="G712" s="2"/>
      <c r="H712" s="2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2"/>
      <c r="G713" s="2"/>
      <c r="H713" s="2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2"/>
      <c r="G714" s="2"/>
      <c r="H714" s="2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2"/>
      <c r="G715" s="2"/>
      <c r="H715" s="2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2"/>
      <c r="G716" s="2"/>
      <c r="H716" s="2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2"/>
      <c r="G717" s="2"/>
      <c r="H717" s="2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2"/>
      <c r="G718" s="2"/>
      <c r="H718" s="2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2"/>
      <c r="G719" s="2"/>
      <c r="H719" s="2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2"/>
      <c r="G720" s="2"/>
      <c r="H720" s="2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2"/>
      <c r="G721" s="2"/>
      <c r="H721" s="2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2"/>
      <c r="G722" s="2"/>
      <c r="H722" s="2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2"/>
      <c r="G723" s="2"/>
      <c r="H723" s="2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2"/>
      <c r="G724" s="2"/>
      <c r="H724" s="2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2"/>
      <c r="G725" s="2"/>
      <c r="H725" s="2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2"/>
      <c r="G726" s="2"/>
      <c r="H726" s="2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2"/>
      <c r="G727" s="2"/>
      <c r="H727" s="2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2"/>
      <c r="G728" s="2"/>
      <c r="H728" s="2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2"/>
      <c r="G729" s="2"/>
      <c r="H729" s="2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2"/>
      <c r="G730" s="2"/>
      <c r="H730" s="2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2"/>
      <c r="G731" s="2"/>
      <c r="H731" s="2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2"/>
      <c r="G732" s="2"/>
      <c r="H732" s="2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2"/>
      <c r="G733" s="2"/>
      <c r="H733" s="2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2"/>
      <c r="G734" s="2"/>
      <c r="H734" s="2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2"/>
      <c r="G735" s="2"/>
      <c r="H735" s="2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2"/>
      <c r="G736" s="2"/>
      <c r="H736" s="2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2"/>
      <c r="G737" s="2"/>
      <c r="H737" s="2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2"/>
      <c r="G738" s="2"/>
      <c r="H738" s="2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2"/>
      <c r="G739" s="2"/>
      <c r="H739" s="2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2"/>
      <c r="G740" s="2"/>
      <c r="H740" s="2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2"/>
      <c r="G741" s="2"/>
      <c r="H741" s="2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2"/>
      <c r="G742" s="2"/>
      <c r="H742" s="2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2"/>
      <c r="G743" s="2"/>
      <c r="H743" s="2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2"/>
      <c r="G744" s="2"/>
      <c r="H744" s="2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2"/>
      <c r="G745" s="2"/>
      <c r="H745" s="2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2"/>
      <c r="G746" s="2"/>
      <c r="H746" s="2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2"/>
      <c r="G747" s="2"/>
      <c r="H747" s="2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2"/>
      <c r="G748" s="2"/>
      <c r="H748" s="2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2"/>
      <c r="G749" s="2"/>
      <c r="H749" s="2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2"/>
      <c r="G750" s="2"/>
      <c r="H750" s="2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2"/>
      <c r="G751" s="2"/>
      <c r="H751" s="2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2"/>
      <c r="G752" s="2"/>
      <c r="H752" s="2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2"/>
      <c r="G753" s="2"/>
      <c r="H753" s="2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2"/>
      <c r="G754" s="2"/>
      <c r="H754" s="2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2"/>
      <c r="G755" s="2"/>
      <c r="H755" s="2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2"/>
      <c r="G756" s="2"/>
      <c r="H756" s="2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2"/>
      <c r="G757" s="2"/>
      <c r="H757" s="2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2"/>
      <c r="G758" s="2"/>
      <c r="H758" s="2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2"/>
      <c r="G759" s="2"/>
      <c r="H759" s="2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2"/>
      <c r="G760" s="2"/>
      <c r="H760" s="2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2"/>
      <c r="G761" s="2"/>
      <c r="H761" s="2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2"/>
      <c r="G762" s="2"/>
      <c r="H762" s="2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2"/>
      <c r="G763" s="2"/>
      <c r="H763" s="2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2"/>
      <c r="G764" s="2"/>
      <c r="H764" s="2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2"/>
      <c r="G765" s="2"/>
      <c r="H765" s="2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2"/>
      <c r="G766" s="2"/>
      <c r="H766" s="2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2"/>
      <c r="G767" s="2"/>
      <c r="H767" s="2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2"/>
      <c r="G768" s="2"/>
      <c r="H768" s="2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2"/>
      <c r="G769" s="2"/>
      <c r="H769" s="2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2"/>
      <c r="G770" s="2"/>
      <c r="H770" s="2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2"/>
      <c r="G771" s="2"/>
      <c r="H771" s="2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2"/>
      <c r="G772" s="2"/>
      <c r="H772" s="2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2"/>
      <c r="G773" s="2"/>
      <c r="H773" s="2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2"/>
      <c r="G774" s="2"/>
      <c r="H774" s="2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2"/>
      <c r="G775" s="2"/>
      <c r="H775" s="2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2"/>
      <c r="G776" s="2"/>
      <c r="H776" s="2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2"/>
      <c r="G777" s="2"/>
      <c r="H777" s="2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2"/>
      <c r="G778" s="2"/>
      <c r="H778" s="2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2"/>
      <c r="G779" s="2"/>
      <c r="H779" s="2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2"/>
      <c r="G780" s="2"/>
      <c r="H780" s="2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2"/>
      <c r="G781" s="2"/>
      <c r="H781" s="2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2"/>
      <c r="G782" s="2"/>
      <c r="H782" s="2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2"/>
      <c r="G783" s="2"/>
      <c r="H783" s="2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2"/>
      <c r="G784" s="2"/>
      <c r="H784" s="2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2"/>
      <c r="G785" s="2"/>
      <c r="H785" s="2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2"/>
      <c r="G786" s="2"/>
      <c r="H786" s="2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2"/>
      <c r="G787" s="2"/>
      <c r="H787" s="2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2"/>
      <c r="G788" s="2"/>
      <c r="H788" s="2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2"/>
      <c r="G789" s="2"/>
      <c r="H789" s="2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2"/>
      <c r="G790" s="2"/>
      <c r="H790" s="2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2"/>
      <c r="G791" s="2"/>
      <c r="H791" s="2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2"/>
      <c r="G792" s="2"/>
      <c r="H792" s="2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2"/>
      <c r="G793" s="2"/>
      <c r="H793" s="2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2"/>
      <c r="G794" s="2"/>
      <c r="H794" s="2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2"/>
      <c r="G795" s="2"/>
      <c r="H795" s="2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2"/>
      <c r="G796" s="2"/>
      <c r="H796" s="2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2"/>
      <c r="G797" s="2"/>
      <c r="H797" s="2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2"/>
      <c r="G798" s="2"/>
      <c r="H798" s="2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2"/>
      <c r="G799" s="2"/>
      <c r="H799" s="2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2"/>
      <c r="G800" s="2"/>
      <c r="H800" s="2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2"/>
      <c r="G801" s="2"/>
      <c r="H801" s="2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2"/>
      <c r="G802" s="2"/>
      <c r="H802" s="2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2"/>
      <c r="G803" s="2"/>
      <c r="H803" s="2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2"/>
      <c r="G804" s="2"/>
      <c r="H804" s="2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2"/>
      <c r="G805" s="2"/>
      <c r="H805" s="2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2"/>
      <c r="G806" s="2"/>
      <c r="H806" s="2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2"/>
      <c r="G807" s="2"/>
      <c r="H807" s="2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2"/>
      <c r="G808" s="2"/>
      <c r="H808" s="2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2"/>
      <c r="G809" s="2"/>
      <c r="H809" s="2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2"/>
      <c r="G810" s="2"/>
      <c r="H810" s="2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2"/>
      <c r="G811" s="2"/>
      <c r="H811" s="2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2"/>
      <c r="G812" s="2"/>
      <c r="H812" s="2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2"/>
      <c r="G813" s="2"/>
      <c r="H813" s="2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2"/>
      <c r="G814" s="2"/>
      <c r="H814" s="2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2"/>
      <c r="G815" s="2"/>
      <c r="H815" s="2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2"/>
      <c r="G816" s="2"/>
      <c r="H816" s="2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2"/>
      <c r="G817" s="2"/>
      <c r="H817" s="2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2"/>
      <c r="G818" s="2"/>
      <c r="H818" s="2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2"/>
      <c r="G819" s="2"/>
      <c r="H819" s="2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2"/>
      <c r="G820" s="2"/>
      <c r="H820" s="2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2"/>
      <c r="G821" s="2"/>
      <c r="H821" s="2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2"/>
      <c r="G822" s="2"/>
      <c r="H822" s="2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2"/>
      <c r="G823" s="2"/>
      <c r="H823" s="2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2"/>
      <c r="G824" s="2"/>
      <c r="H824" s="2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2"/>
      <c r="G825" s="2"/>
      <c r="H825" s="2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2"/>
      <c r="G826" s="2"/>
      <c r="H826" s="2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2"/>
      <c r="G827" s="2"/>
      <c r="H827" s="2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2"/>
      <c r="G828" s="2"/>
      <c r="H828" s="2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2"/>
      <c r="G829" s="2"/>
      <c r="H829" s="2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2"/>
      <c r="G830" s="2"/>
      <c r="H830" s="2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2"/>
      <c r="G831" s="2"/>
      <c r="H831" s="2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2"/>
      <c r="G832" s="2"/>
      <c r="H832" s="2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2"/>
      <c r="G833" s="2"/>
      <c r="H833" s="2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2"/>
      <c r="G834" s="2"/>
      <c r="H834" s="2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2"/>
      <c r="G835" s="2"/>
      <c r="H835" s="2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2"/>
      <c r="G836" s="2"/>
      <c r="H836" s="2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2"/>
      <c r="G837" s="2"/>
      <c r="H837" s="2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2"/>
      <c r="G838" s="2"/>
      <c r="H838" s="2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2"/>
      <c r="G839" s="2"/>
      <c r="H839" s="2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2"/>
      <c r="G840" s="2"/>
      <c r="H840" s="2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2"/>
      <c r="G841" s="2"/>
      <c r="H841" s="2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2"/>
      <c r="G842" s="2"/>
      <c r="H842" s="2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2"/>
      <c r="G843" s="2"/>
      <c r="H843" s="2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2"/>
      <c r="G844" s="2"/>
      <c r="H844" s="2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2"/>
      <c r="G845" s="2"/>
      <c r="H845" s="2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2"/>
      <c r="G846" s="2"/>
      <c r="H846" s="2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2"/>
      <c r="G847" s="2"/>
      <c r="H847" s="2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2"/>
      <c r="G848" s="2"/>
      <c r="H848" s="2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2"/>
      <c r="G849" s="2"/>
      <c r="H849" s="2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2"/>
      <c r="G850" s="2"/>
      <c r="H850" s="2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2"/>
      <c r="G851" s="2"/>
      <c r="H851" s="2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2"/>
      <c r="G852" s="2"/>
      <c r="H852" s="2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2"/>
      <c r="G853" s="2"/>
      <c r="H853" s="2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2"/>
      <c r="G854" s="2"/>
      <c r="H854" s="2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2"/>
      <c r="G855" s="2"/>
      <c r="H855" s="2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2"/>
      <c r="G856" s="2"/>
      <c r="H856" s="2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2"/>
      <c r="G857" s="2"/>
      <c r="H857" s="2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2"/>
      <c r="G858" s="2"/>
      <c r="H858" s="2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2"/>
      <c r="G859" s="2"/>
      <c r="H859" s="2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2"/>
      <c r="G860" s="2"/>
      <c r="H860" s="2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2"/>
      <c r="G861" s="2"/>
      <c r="H861" s="2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2"/>
      <c r="G862" s="2"/>
      <c r="H862" s="2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2"/>
      <c r="G863" s="2"/>
      <c r="H863" s="2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2"/>
      <c r="G864" s="2"/>
      <c r="H864" s="2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2"/>
      <c r="G865" s="2"/>
      <c r="H865" s="2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2"/>
      <c r="G866" s="2"/>
      <c r="H866" s="2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2"/>
      <c r="G867" s="2"/>
      <c r="H867" s="2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2"/>
      <c r="G868" s="2"/>
      <c r="H868" s="2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2"/>
      <c r="G869" s="2"/>
      <c r="H869" s="2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2"/>
      <c r="G870" s="2"/>
      <c r="H870" s="2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2"/>
      <c r="G871" s="2"/>
      <c r="H871" s="2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2"/>
      <c r="G872" s="2"/>
      <c r="H872" s="2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2"/>
      <c r="G873" s="2"/>
      <c r="H873" s="2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2"/>
      <c r="G874" s="2"/>
      <c r="H874" s="2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2"/>
      <c r="G875" s="2"/>
      <c r="H875" s="2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2"/>
      <c r="G876" s="2"/>
      <c r="H876" s="2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2"/>
      <c r="G877" s="2"/>
      <c r="H877" s="2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2"/>
      <c r="G878" s="2"/>
      <c r="H878" s="2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2"/>
      <c r="G879" s="2"/>
      <c r="H879" s="2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2"/>
      <c r="G880" s="2"/>
      <c r="H880" s="2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2"/>
      <c r="G881" s="2"/>
      <c r="H881" s="2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2"/>
      <c r="G882" s="2"/>
      <c r="H882" s="2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2"/>
      <c r="G883" s="2"/>
      <c r="H883" s="2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2"/>
      <c r="G884" s="2"/>
      <c r="H884" s="2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2"/>
      <c r="G885" s="2"/>
      <c r="H885" s="2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2"/>
      <c r="G886" s="2"/>
      <c r="H886" s="2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2"/>
      <c r="G887" s="2"/>
      <c r="H887" s="2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2"/>
      <c r="G888" s="2"/>
      <c r="H888" s="2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2"/>
      <c r="G889" s="2"/>
      <c r="H889" s="2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2"/>
      <c r="G890" s="2"/>
      <c r="H890" s="2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2"/>
      <c r="G891" s="2"/>
      <c r="H891" s="2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2"/>
      <c r="G892" s="2"/>
      <c r="H892" s="2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2"/>
      <c r="G893" s="2"/>
      <c r="H893" s="2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2"/>
      <c r="G894" s="2"/>
      <c r="H894" s="2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2"/>
      <c r="G895" s="2"/>
      <c r="H895" s="2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2"/>
      <c r="G896" s="2"/>
      <c r="H896" s="2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2"/>
      <c r="G897" s="2"/>
      <c r="H897" s="2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2"/>
      <c r="G898" s="2"/>
      <c r="H898" s="2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2"/>
      <c r="G899" s="2"/>
      <c r="H899" s="2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2"/>
      <c r="G900" s="2"/>
      <c r="H900" s="2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2"/>
      <c r="G901" s="2"/>
      <c r="H901" s="2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2"/>
      <c r="G902" s="2"/>
      <c r="H902" s="2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2"/>
      <c r="G903" s="2"/>
      <c r="H903" s="2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2"/>
      <c r="G904" s="2"/>
      <c r="H904" s="2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2"/>
      <c r="G905" s="2"/>
      <c r="H905" s="2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2"/>
      <c r="G906" s="2"/>
      <c r="H906" s="2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2"/>
      <c r="G907" s="2"/>
      <c r="H907" s="2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2"/>
      <c r="G908" s="2"/>
      <c r="H908" s="2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2"/>
      <c r="G909" s="2"/>
      <c r="H909" s="2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2"/>
      <c r="G910" s="2"/>
      <c r="H910" s="2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2"/>
      <c r="G911" s="2"/>
      <c r="H911" s="2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2"/>
      <c r="G912" s="2"/>
      <c r="H912" s="2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2"/>
      <c r="G913" s="2"/>
      <c r="H913" s="2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2"/>
      <c r="G914" s="2"/>
      <c r="H914" s="2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2"/>
      <c r="G915" s="2"/>
      <c r="H915" s="2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2"/>
      <c r="G916" s="2"/>
      <c r="H916" s="2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2"/>
      <c r="G917" s="2"/>
      <c r="H917" s="2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2"/>
      <c r="G918" s="2"/>
      <c r="H918" s="2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2"/>
      <c r="G919" s="2"/>
      <c r="H919" s="2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2"/>
      <c r="G920" s="2"/>
      <c r="H920" s="2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2"/>
      <c r="G921" s="2"/>
      <c r="H921" s="2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2"/>
      <c r="G922" s="2"/>
      <c r="H922" s="2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2"/>
      <c r="G923" s="2"/>
      <c r="H923" s="2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2"/>
      <c r="G924" s="2"/>
      <c r="H924" s="2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2"/>
      <c r="G925" s="2"/>
      <c r="H925" s="2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2"/>
      <c r="G926" s="2"/>
      <c r="H926" s="2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2"/>
      <c r="G927" s="2"/>
      <c r="H927" s="2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2"/>
      <c r="G928" s="2"/>
      <c r="H928" s="2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2"/>
      <c r="G929" s="2"/>
      <c r="H929" s="2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2"/>
      <c r="G930" s="2"/>
      <c r="H930" s="2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2"/>
      <c r="G931" s="2"/>
      <c r="H931" s="2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2"/>
      <c r="G932" s="2"/>
      <c r="H932" s="2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2"/>
      <c r="G933" s="2"/>
      <c r="H933" s="2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2"/>
      <c r="G934" s="2"/>
      <c r="H934" s="2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2"/>
      <c r="G935" s="2"/>
      <c r="H935" s="2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2"/>
      <c r="G936" s="2"/>
      <c r="H936" s="2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2"/>
      <c r="G937" s="2"/>
      <c r="H937" s="2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2"/>
      <c r="G938" s="2"/>
      <c r="H938" s="2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2"/>
      <c r="G939" s="2"/>
      <c r="H939" s="2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2"/>
      <c r="G940" s="2"/>
      <c r="H940" s="2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2"/>
      <c r="G941" s="2"/>
      <c r="H941" s="2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2"/>
      <c r="G942" s="2"/>
      <c r="H942" s="2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2"/>
      <c r="G943" s="2"/>
      <c r="H943" s="2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2"/>
      <c r="G944" s="2"/>
      <c r="H944" s="2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2"/>
      <c r="G945" s="2"/>
      <c r="H945" s="2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2"/>
      <c r="G946" s="2"/>
      <c r="H946" s="2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2"/>
      <c r="G947" s="2"/>
      <c r="H947" s="2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2"/>
      <c r="G948" s="2"/>
      <c r="H948" s="2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2"/>
      <c r="G949" s="2"/>
      <c r="H949" s="2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2"/>
      <c r="G950" s="2"/>
      <c r="H950" s="2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2"/>
      <c r="G951" s="2"/>
      <c r="H951" s="2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2"/>
      <c r="G952" s="2"/>
      <c r="H952" s="2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2"/>
      <c r="G953" s="2"/>
      <c r="H953" s="2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2"/>
      <c r="G954" s="2"/>
      <c r="H954" s="2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2"/>
      <c r="G955" s="2"/>
      <c r="H955" s="2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2"/>
      <c r="G956" s="2"/>
      <c r="H956" s="2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2"/>
      <c r="G957" s="2"/>
      <c r="H957" s="2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2"/>
      <c r="G958" s="2"/>
      <c r="H958" s="2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</sheetData>
  <mergeCells count="114">
    <mergeCell ref="J21:O21"/>
    <mergeCell ref="J22:M22"/>
    <mergeCell ref="J23:O23"/>
    <mergeCell ref="J24:M24"/>
    <mergeCell ref="J34:O34"/>
    <mergeCell ref="P34:P35"/>
    <mergeCell ref="J35:M35"/>
    <mergeCell ref="J36:O36"/>
    <mergeCell ref="J37:M37"/>
    <mergeCell ref="J44:O44"/>
    <mergeCell ref="P44:P46"/>
    <mergeCell ref="J45:M45"/>
    <mergeCell ref="J46:O46"/>
    <mergeCell ref="J47:M47"/>
    <mergeCell ref="J63:O63"/>
    <mergeCell ref="J64:M64"/>
    <mergeCell ref="D71:D74"/>
    <mergeCell ref="J71:O71"/>
    <mergeCell ref="P71:P74"/>
    <mergeCell ref="J72:M72"/>
    <mergeCell ref="J73:O73"/>
    <mergeCell ref="J74:M74"/>
    <mergeCell ref="J50:O50"/>
    <mergeCell ref="J51:M51"/>
    <mergeCell ref="J52:O52"/>
    <mergeCell ref="J53:M53"/>
    <mergeCell ref="J61:O61"/>
    <mergeCell ref="P61:P64"/>
    <mergeCell ref="J62:M62"/>
    <mergeCell ref="J92:O92"/>
    <mergeCell ref="J93:M93"/>
    <mergeCell ref="J94:O94"/>
    <mergeCell ref="J95:M95"/>
    <mergeCell ref="J96:N96"/>
    <mergeCell ref="J98:O98"/>
    <mergeCell ref="J99:M99"/>
    <mergeCell ref="J122:O122"/>
    <mergeCell ref="P122:P125"/>
    <mergeCell ref="J123:M123"/>
    <mergeCell ref="J124:O124"/>
    <mergeCell ref="J125:M125"/>
    <mergeCell ref="J126:N126"/>
    <mergeCell ref="J100:O100"/>
    <mergeCell ref="J101:M101"/>
    <mergeCell ref="J104:O104"/>
    <mergeCell ref="J105:M105"/>
    <mergeCell ref="J106:O106"/>
    <mergeCell ref="J107:M107"/>
    <mergeCell ref="D122:D125"/>
    <mergeCell ref="J241:M241"/>
    <mergeCell ref="J242:M242"/>
    <mergeCell ref="J243:M243"/>
    <mergeCell ref="J244:M244"/>
    <mergeCell ref="J245:M245"/>
    <mergeCell ref="J246:M246"/>
    <mergeCell ref="J247:M247"/>
    <mergeCell ref="J256:M256"/>
    <mergeCell ref="A274:M274"/>
    <mergeCell ref="J248:M248"/>
    <mergeCell ref="J249:M249"/>
    <mergeCell ref="J250:M250"/>
    <mergeCell ref="J251:M251"/>
    <mergeCell ref="J252:M252"/>
    <mergeCell ref="J253:M253"/>
    <mergeCell ref="J255:M255"/>
    <mergeCell ref="D143:D146"/>
    <mergeCell ref="J143:O143"/>
    <mergeCell ref="J144:M144"/>
    <mergeCell ref="J145:O145"/>
    <mergeCell ref="J146:M146"/>
    <mergeCell ref="J147:N147"/>
    <mergeCell ref="D154:D157"/>
    <mergeCell ref="J154:O154"/>
    <mergeCell ref="P154:P157"/>
    <mergeCell ref="J155:M155"/>
    <mergeCell ref="J156:O156"/>
    <mergeCell ref="J157:M157"/>
    <mergeCell ref="J160:O160"/>
    <mergeCell ref="J161:M161"/>
    <mergeCell ref="J162:O162"/>
    <mergeCell ref="J163:M163"/>
    <mergeCell ref="J174:O174"/>
    <mergeCell ref="P174:P177"/>
    <mergeCell ref="J175:M175"/>
    <mergeCell ref="J176:O176"/>
    <mergeCell ref="J177:M177"/>
    <mergeCell ref="D192:D195"/>
    <mergeCell ref="J192:O192"/>
    <mergeCell ref="P192:P195"/>
    <mergeCell ref="J193:M193"/>
    <mergeCell ref="J194:O194"/>
    <mergeCell ref="J195:M195"/>
    <mergeCell ref="J208:O208"/>
    <mergeCell ref="J209:M209"/>
    <mergeCell ref="J210:O210"/>
    <mergeCell ref="J211:M211"/>
    <mergeCell ref="J214:O214"/>
    <mergeCell ref="J215:M215"/>
    <mergeCell ref="J216:O216"/>
    <mergeCell ref="J217:M217"/>
    <mergeCell ref="J220:O220"/>
    <mergeCell ref="J221:M221"/>
    <mergeCell ref="J222:O222"/>
    <mergeCell ref="J223:M223"/>
    <mergeCell ref="J227:O227"/>
    <mergeCell ref="J228:M228"/>
    <mergeCell ref="J229:O229"/>
    <mergeCell ref="J230:M230"/>
    <mergeCell ref="J235:M235"/>
    <mergeCell ref="J236:M236"/>
    <mergeCell ref="J237:M237"/>
    <mergeCell ref="J238:M238"/>
    <mergeCell ref="J239:M239"/>
    <mergeCell ref="J240:M240"/>
  </mergeCells>
  <drawing r:id="rId1"/>
</worksheet>
</file>